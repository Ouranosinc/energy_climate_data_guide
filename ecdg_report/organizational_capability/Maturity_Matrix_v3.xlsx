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ouphi1\Downloads\"/>
    </mc:Choice>
  </mc:AlternateContent>
  <xr:revisionPtr revIDLastSave="0" documentId="13_ncr:1_{E2AF43DA-F44E-4BBA-B12D-89651FC5DCD5}" xr6:coauthVersionLast="47" xr6:coauthVersionMax="47" xr10:uidLastSave="{00000000-0000-0000-0000-000000000000}"/>
  <bookViews>
    <workbookView xWindow="-28920" yWindow="-120" windowWidth="29040" windowHeight="15720" activeTab="3" xr2:uid="{00000000-000D-0000-FFFF-FFFF00000000}"/>
  </bookViews>
  <sheets>
    <sheet name="Instructions &amp; Scope" sheetId="1" r:id="rId1"/>
    <sheet name="Assessment" sheetId="2" r:id="rId2"/>
    <sheet name="Summary" sheetId="3" r:id="rId3"/>
    <sheet name="Glossary"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 i="3" l="1"/>
  <c r="I12" i="3"/>
  <c r="H12" i="3"/>
  <c r="G12" i="3"/>
  <c r="F12" i="3"/>
  <c r="E12" i="3"/>
  <c r="D12" i="3"/>
  <c r="C12" i="3"/>
  <c r="B12" i="3"/>
  <c r="J11" i="3"/>
  <c r="I11" i="3"/>
  <c r="H11" i="3"/>
  <c r="G11" i="3"/>
  <c r="F11" i="3"/>
  <c r="E11" i="3"/>
  <c r="D11" i="3"/>
  <c r="C11" i="3"/>
  <c r="B11" i="3"/>
  <c r="J10" i="3"/>
  <c r="I10" i="3"/>
  <c r="H10" i="3"/>
  <c r="G10" i="3"/>
  <c r="F10" i="3"/>
  <c r="E10" i="3"/>
  <c r="D10" i="3"/>
  <c r="C10" i="3"/>
  <c r="B10" i="3"/>
  <c r="J9" i="3"/>
  <c r="I9" i="3"/>
  <c r="H9" i="3"/>
  <c r="G9" i="3"/>
  <c r="F9" i="3"/>
  <c r="E9" i="3"/>
  <c r="D9" i="3"/>
  <c r="C9" i="3"/>
  <c r="B9" i="3"/>
  <c r="J8" i="3"/>
  <c r="I8" i="3"/>
  <c r="H8" i="3"/>
  <c r="G8" i="3"/>
  <c r="F8" i="3"/>
  <c r="E8" i="3"/>
  <c r="D8" i="3"/>
  <c r="C8" i="3"/>
  <c r="B8" i="3"/>
  <c r="J7" i="3"/>
  <c r="I7" i="3"/>
  <c r="H7" i="3"/>
  <c r="G7" i="3"/>
  <c r="F7" i="3"/>
  <c r="E7" i="3"/>
  <c r="D7" i="3"/>
  <c r="C7" i="3"/>
  <c r="B7" i="3"/>
  <c r="J6" i="3"/>
  <c r="I6" i="3"/>
  <c r="H6" i="3"/>
  <c r="G6" i="3"/>
  <c r="F6" i="3"/>
  <c r="E6" i="3"/>
  <c r="D6" i="3"/>
  <c r="C6" i="3"/>
  <c r="B6" i="3"/>
</calcChain>
</file>

<file path=xl/sharedStrings.xml><?xml version="1.0" encoding="utf-8"?>
<sst xmlns="http://schemas.openxmlformats.org/spreadsheetml/2006/main" count="331" uniqueCount="318">
  <si>
    <t>Climate Data Maturity Matrix — Instructions and Assessment Scope</t>
  </si>
  <si>
    <t>Organization</t>
  </si>
  <si>
    <t>Assessment scope</t>
  </si>
  <si>
    <t>Business function or organizational unit</t>
  </si>
  <si>
    <t>Included teams</t>
  </si>
  <si>
    <t>Excluded teams</t>
  </si>
  <si>
    <t>Climate-information types considered</t>
  </si>
  <si>
    <t>Principal applications or decisions considered</t>
  </si>
  <si>
    <t>Assessment participants</t>
  </si>
  <si>
    <t>Evidence sources</t>
  </si>
  <si>
    <t>Assessment date</t>
  </si>
  <si>
    <t>How to use the matrix</t>
  </si>
  <si>
    <t>Purpose</t>
  </si>
  <si>
    <t>Use the matrix for internal reflection, dialogue, gap identification, and improvement planning. It is not an external benchmark, compliance score, or organizational ranking.</t>
  </si>
  <si>
    <t>Define scope</t>
  </si>
  <si>
    <t>Assess the whole organization only when practices are genuinely shared. Otherwise assess a clearly defined business function, unit, or major operational area and record what is included.</t>
  </si>
  <si>
    <t>Participate cross-functionally</t>
  </si>
  <si>
    <t>Include people with knowledge of relevant planning, operations, engineering, risk, climate information, data governance, and contracted work. Use Not assessed rather than guessing.</t>
  </si>
  <si>
    <t>Select status first</t>
  </si>
  <si>
    <t>Choose Implemented, In development, Not started, Not assessed, or Not applicable using the definitions below.</t>
  </si>
  <si>
    <t>Apply guided best fit</t>
  </si>
  <si>
    <t>Select the highest level substantially and consistently demonstrated. Do not select a higher level when an essential underlying capability is absent. If practice spans levels, choose the lower defensible level and explain the stronger elements.</t>
  </si>
  <si>
    <t>Score current practice</t>
  </si>
  <si>
    <t>Score only what is currently demonstrated. A blank current score is allowed when status is In development, Not started, Not assessed, or Not applicable and no level can presently be demonstrated; explain the blank in Evidence and justification.</t>
  </si>
  <si>
    <t>Record evidence</t>
  </si>
  <si>
    <t>Document evidence for the current score, mixed-level practice, blank scores, Not applicable decisions, desired maturity, and planned improvements.</t>
  </si>
  <si>
    <t>Set desired maturity</t>
  </si>
  <si>
    <t>Desired maturity is role-, risk-, and application-dependent and need not be Level 5. Consider responsibility, consequences, materiality, frequency of use, regulatory context, and access to expertise.</t>
  </si>
  <si>
    <t>Interpret results</t>
  </si>
  <si>
    <t>The criterion profile is the primary result. No overall score is calculated. Section medians are descriptive aids and must be read with ranges and status counts.</t>
  </si>
  <si>
    <t>Implementation status definitions</t>
  </si>
  <si>
    <t>Implemented</t>
  </si>
  <si>
    <t>The capability is currently in use within the assessment scope.</t>
  </si>
  <si>
    <t>In development</t>
  </si>
  <si>
    <t>Work is actively underway but is not yet established in normal practice.</t>
  </si>
  <si>
    <t>Not started</t>
  </si>
  <si>
    <t>The capability is relevant but no material implementation work has begun.</t>
  </si>
  <si>
    <t>Not assessed</t>
  </si>
  <si>
    <t>The assessment team lacks sufficient evidence or expertise to determine the current state.</t>
  </si>
  <si>
    <t>Not applicable</t>
  </si>
  <si>
    <t>The criterion is not relevant to the defined scope or climate-information types; provide a brief justification.</t>
  </si>
  <si>
    <t>Climate Data Maturity Matrix</t>
  </si>
  <si>
    <t>Maturity level</t>
  </si>
  <si>
    <t>Assessment response</t>
  </si>
  <si>
    <t>Level 1 — Initial</t>
  </si>
  <si>
    <t>Level 2 — Developing</t>
  </si>
  <si>
    <t>Level 3 — Defined</t>
  </si>
  <si>
    <t>Level 4 — Integrated</t>
  </si>
  <si>
    <t>Level 5 — Adaptive</t>
  </si>
  <si>
    <t>Status</t>
  </si>
  <si>
    <t>Current maturity level</t>
  </si>
  <si>
    <t>Desired maturity level</t>
  </si>
  <si>
    <t>Evidence and justification</t>
  </si>
  <si>
    <t>A — Organizational Capacity, Governance and Resources</t>
  </si>
  <si>
    <t>A1 — Internal Climate Expertise</t>
  </si>
  <si>
    <t>No reliable internal source of climate expertise is available to the assessed scope; climate-related questions are handled ad hoc.</t>
  </si>
  <si>
    <t>One or more staff members provide informal or part-time climate support, but availability, role clarity, or continuity is limited.</t>
  </si>
  <si>
    <t>Designated personnel with relevant climate expertise are available and consulted for important decisions within the assessed scope.</t>
  </si>
  <si>
    <t>Climate expertise is embedded in or formally available to relevant functions, with clear roles, escalation pathways, and continuity arrangements.</t>
  </si>
  <si>
    <t>Internal expertise is sustained through succession, continuing learning, and knowledge sharing, and evolves with organizational needs and climate science.</t>
  </si>
  <si>
    <t>A2 — Access to External Climate Expertise</t>
  </si>
  <si>
    <t>No reliable relationship exists with external climate experts or service providers.</t>
  </si>
  <si>
    <t>External expertise is accessed occasionally for specific questions or projects, without a consistent arrangement.</t>
  </si>
  <si>
    <t>Appropriate external expertise can be accessed through established relationships for defined needs and projects.</t>
  </si>
  <si>
    <t>External experts are engaged through coordinated arrangements, with their advice documented and incorporated into relevant decisions and internal learning.</t>
  </si>
  <si>
    <t>External relationships are periodically evaluated and adapted to emerging needs, and support sustained knowledge transfer and appropriate co-development.</t>
  </si>
  <si>
    <t>A3 — Governance, Accountability and Strategic Direction</t>
  </si>
  <si>
    <t>No clear ownership, accountability, or strategic direction exists for climate-information use.</t>
  </si>
  <si>
    <t>Climate-information issues are discussed in projects or working groups, but responsibilities and decision authority remain informal or fragmented.</t>
  </si>
  <si>
    <t>Accountable roles, decision pathways, and organizational guidance are documented for important climate-information activities.</t>
  </si>
  <si>
    <t>Governance coordinates responsibilities across relevant functions and connects climate-information use to organizational risk, planning, and strategy.</t>
  </si>
  <si>
    <t>Governance effectiveness is reviewed and improved, with strategic direction updated as risks, evidence, responsibilities, and organizational priorities change.</t>
  </si>
  <si>
    <t>A4 — Financial Resources for Climate Activities</t>
  </si>
  <si>
    <t>No identifiable funding is available for relevant climate-information activities.</t>
  </si>
  <si>
    <t>Funding is obtained intermittently for individual projects, reports, or external support.</t>
  </si>
  <si>
    <t>Recurring funding is allocated for priority climate-information activities within the assessed scope.</t>
  </si>
  <si>
    <t>Funding is planned across relevant work programs and aligned with material risks, responsibilities, and investment cycles.</t>
  </si>
  <si>
    <t>Multi-year resource planning is reviewed and adjusted using evidence about changing needs, risks, and the effectiveness of previous investments.</t>
  </si>
  <si>
    <t>A5 — Staff Capacity and Time</t>
  </si>
  <si>
    <t>Relevant climate-information work depends on unallocated staff time or cannot be completed because capacity is unavailable.</t>
  </si>
  <si>
    <t>Some staff time is assigned for specific activities, but competing responsibilities regularly limit completion or continuity.</t>
  </si>
  <si>
    <t>Roles and expected time commitments are established for priority activities, with sufficient capacity for normal requirements.</t>
  </si>
  <si>
    <t>Capacity is planned across relevant functions, including coordination, technical review, oversight of contractors, and continuity during staff changes.</t>
  </si>
  <si>
    <t>Workload, capability needs, and delivery risks are monitored, and staffing or sourcing arrangements are adjusted proactively.</t>
  </si>
  <si>
    <t>A6 — Training and Professional Development</t>
  </si>
  <si>
    <t>No relevant training, onboarding, or learning support is available.</t>
  </si>
  <si>
    <t>Staff access occasional learning opportunities, but participation and continuity depend on individual initiative.</t>
  </si>
  <si>
    <t>Role-appropriate training or documented learning resources are available for personnel with climate-information responsibilities.</t>
  </si>
  <si>
    <t>Training is incorporated into onboarding and professional development for relevant roles and is refreshed periodically.</t>
  </si>
  <si>
    <t>Learning needs and outcomes are reviewed, and training is updated using experience, emerging methods, and changing decision requirements.</t>
  </si>
  <si>
    <t>A7 — Climate-Informed Reporting, Disclosures and Accountability</t>
  </si>
  <si>
    <t>Relevant formal outputs use climate information inconsistently or without adequate traceability and review.</t>
  </si>
  <si>
    <t>Climate information is included in some formal outputs, but methods, assumptions, or review practices vary.</t>
  </si>
  <si>
    <t>Relevant reports, disclosures, or planning outputs follow documented requirements for sources, assumptions, limitations, and internal review.</t>
  </si>
  <si>
    <t>Requirements are consistently applied across relevant outputs and aligned with organizational risk, planning, and accountability processes.</t>
  </si>
  <si>
    <t>Reporting practices are periodically evaluated and updated in response to new evidence, standards, user needs, and lessons from assurance or review.</t>
  </si>
  <si>
    <t>B — Climate Risk Understanding and Organizational Readiness</t>
  </si>
  <si>
    <t>B1 — Role-Appropriate Climate Change Understanding</t>
  </si>
  <si>
    <t>Relevant personnel have limited understanding of how climate variability and change relate to their responsibilities.</t>
  </si>
  <si>
    <t>General awareness exists, but understanding is uneven and is not consistently connected to role-specific decisions.</t>
  </si>
  <si>
    <t>Relevant personnel understand the principal climate implications for their roles and know when specialist advice is required.</t>
  </si>
  <si>
    <t>Role-appropriate understanding is established across relevant functions and is routinely applied in decisions, design, planning, or operations.</t>
  </si>
  <si>
    <t>Understanding is maintained and updated through continuing learning, experience, and feedback as climate evidence and organizational needs evolve.</t>
  </si>
  <si>
    <t>B2 — Understanding and Management of Climate-Related Risks</t>
  </si>
  <si>
    <t>Climate-related risks are not systematically recognized in relevant decisions.</t>
  </si>
  <si>
    <t>Some risks are recognized, mainly in response to events, external requests, or individual initiative.</t>
  </si>
  <si>
    <t>Material climate-related risks are identified and assessed for priority activities using a documented approach.</t>
  </si>
  <si>
    <t>Climate-related risks are incorporated into relevant organizational risk and decision processes, with clear ownership and actions for managing the risks.</t>
  </si>
  <si>
    <t>Risk assessments and treatments are monitored and updated as conditions, evidence, exposure, and organizational priorities change.</t>
  </si>
  <si>
    <t>B3 — Adaptation Readiness and Implementation</t>
  </si>
  <si>
    <t>Adaptation needs and responsibilities have not been identified within the assessed scope.</t>
  </si>
  <si>
    <t>Adaptation options are being explored, but priorities, responsibilities, or implementation pathways remain preliminary.</t>
  </si>
  <si>
    <t>Priority adaptation measures and responsibilities are documented, and selected measures are being implemented.</t>
  </si>
  <si>
    <t>Adaptation is incorporated into relevant plans, programs, or asset decisions, with implementation and outcomes monitored.</t>
  </si>
  <si>
    <t>Adaptation priorities, measures, and implementation plans are periodically reviewed and adjusted using observed outcomes, updated risks, and changing decision conditions.</t>
  </si>
  <si>
    <t>C — Planning and Deployment Strategy</t>
  </si>
  <si>
    <t>C1 — Alignment of Planning Horizons and Climate Information</t>
  </si>
  <si>
    <t>Climate-information timescales are not checked against the horizons of relevant decisions.</t>
  </si>
  <si>
    <t>Time horizons are considered inconsistently, and mismatches remain common or undocumented.</t>
  </si>
  <si>
    <t>Documented guidance links important decision types and lifecycles to appropriate climate-information timescales.</t>
  </si>
  <si>
    <t>Horizon alignment is consistently applied across relevant planning and operational workflows, including decisions affected by risks over multiple timescales.</t>
  </si>
  <si>
    <t>Horizon guidance and planning approaches are reviewed and adjusted as decision lifecycles, climate information, and risk conditions change.</t>
  </si>
  <si>
    <t>C2 — Use of Future Climate Information and Planning Assumptions</t>
  </si>
  <si>
    <t>Relevant long-term decisions rely on historical conditions or static assumptions without considering future climate change.</t>
  </si>
  <si>
    <t>Future climate information is considered in selected activities, but assumptions and selection rationales are informal or inconsistent.</t>
  </si>
  <si>
    <t>Documented future-climate assumptions, including multiple plausible futures where relevant, are used for important climate-sensitive decisions.</t>
  </si>
  <si>
    <t>Future climate information is systematically incorporated into relevant planning models and decisions, with assumptions coordinated and traceable.</t>
  </si>
  <si>
    <t>Planning assumptions and decision strategies are tested and updated as climate evidence, policies, thresholds, and observed conditions evolve.</t>
  </si>
  <si>
    <t>C3 — Coordination Across Relevant Teams</t>
  </si>
  <si>
    <t>Teams using or affected by climate information work independently with little coordination.</t>
  </si>
  <si>
    <t>Coordination occurs for selected projects but depends on informal relationships or individual initiative.</t>
  </si>
  <si>
    <t>Relevant teams use documented coordination arrangements to establish shared assumptions, responsibilities, and information needs.</t>
  </si>
  <si>
    <t>Established coordination arrangements connect climate-information activities across relevant functions and shared services.</t>
  </si>
  <si>
    <t>Coordination effectiveness is reviewed and improved, and shared practices evolve with organizational needs and lessons learned.</t>
  </si>
  <si>
    <t>C4 — Learning and Feedback in Climate-Information Use</t>
  </si>
  <si>
    <t>Outcomes and experience do not inform subsequent climate-information choices or methods.</t>
  </si>
  <si>
    <t>Relevant lessons are discussed after some decisions or events but are not consistently recorded or applied.</t>
  </si>
  <si>
    <t>Lessons from applications, decisions, forecasts, analyses, or extreme events are documented and inform later climate-information use.</t>
  </si>
  <si>
    <t>Feedback is built into relevant reviews and planning cycles, with responsibilities assigned for acting on identified lessons.</t>
  </si>
  <si>
    <t>Evidence from outcomes is systematically evaluated and used to improve data choices, assumptions, methods, tools, and decision processes.</t>
  </si>
  <si>
    <t>C5 — Tools and Infrastructure for Climate-Information Use</t>
  </si>
  <si>
    <t>Tools and storage arrangements are unreliable, undocumented, or dependent on individual workarounds.</t>
  </si>
  <si>
    <t>Fit-for-purpose tools exist for selected activities but are fragmented, inconsistently maintained, or weakly connected to decision workflows.</t>
  </si>
  <si>
    <t>Supported tools and infrastructure enable repeatable climate-information tasks for important applications.</t>
  </si>
  <si>
    <t>Tools are integrated into relevant organizational systems and workflows, with clear ownership, maintenance, access, and quality controls.</t>
  </si>
  <si>
    <t>Tool performance and user needs are monitored, and infrastructure is improved as applications, risks, and technology change.</t>
  </si>
  <si>
    <t>C6 — Standardized Climate-Information Practices</t>
  </si>
  <si>
    <t>Relevant work is ad hoc, with no agreed procedures, templates, or minimum requirements.</t>
  </si>
  <si>
    <t>Local checklists or templates exist, but use, ownership, and version control are inconsistent.</t>
  </si>
  <si>
    <t>Approved, version-controlled procedures or templates establish minimum climate-information requirements for important workflows.</t>
  </si>
  <si>
    <t>Applicable standards are consistently used across relevant workflows, with clear owners, review schedules, and links to relevant assumptions, methods, and supporting resources.</t>
  </si>
  <si>
    <t>Use and effectiveness are monitored, and standards are updated through audit findings, user feedback, lessons learned, and changing requirements.</t>
  </si>
  <si>
    <t>D — Data Acquisition, Provenance and Initial Screening</t>
  </si>
  <si>
    <t>D1 — Source Identification and Citation</t>
  </si>
  <si>
    <t>Data origins are unknown or inconsistently retained.</t>
  </si>
  <si>
    <t>Sources are recorded in some files or project notes but are not consistently linked to outputs.</t>
  </si>
  <si>
    <t>Source, provider, product, and version information are systematically recorded for relevant uses.</t>
  </si>
  <si>
    <t>Complete citations and access details are retained through relevant analyses, reports, and audit trails.</t>
  </si>
  <si>
    <t>Source records are maintained through governed workflows and updated when products, versions, or citation requirements change.</t>
  </si>
  <si>
    <t>D2 — Processing Lineage and Reproducibility</t>
  </si>
  <si>
    <t>Relevant transformations or adjustments cannot be reliably identified.</t>
  </si>
  <si>
    <t>Some processing steps are noted in files, notebooks, or scripts, but records are incomplete or difficult to reproduce.</t>
  </si>
  <si>
    <t>Material transformations are documented and linked to source inputs, methods, parameters, and responsible parties.</t>
  </si>
  <si>
    <t>Processing lineage is version-controlled and reproducible for relevant applications, including work performed by contractors where applicable.</t>
  </si>
  <si>
    <t>Lineage controls are maintained across workflows and improved as methods, products, providers, and audit needs change.</t>
  </si>
  <si>
    <t>D3 — Metadata Completeness and Management</t>
  </si>
  <si>
    <t>Essential metadata are missing, unreliable, or not reviewed before use.</t>
  </si>
  <si>
    <t>Basic metadata such as units, location, time period, and coordinate information are checked, but practices are inconsistent.</t>
  </si>
  <si>
    <t>Required metadata fields and conventions are documented and consistently preserved for relevant uses.</t>
  </si>
  <si>
    <t>Metadata completeness and conformance are routinely reviewed across relevant workflows using proportionate manual or automated checks.</t>
  </si>
  <si>
    <t>Metadata requirements and checks are governed and updated in response to changing products, standards, and user needs.</t>
  </si>
  <si>
    <t>D4 — Licensing and Usage Rights</t>
  </si>
  <si>
    <t>Licensing or usage conditions are unknown or not considered.</t>
  </si>
  <si>
    <t>Terms are recorded for some projects but are not consistently reviewed before use or sharing.</t>
  </si>
  <si>
    <t>Usage, sharing, attribution, and retention rights are documented and checked for relevant uses.</t>
  </si>
  <si>
    <t>Licensing review is incorporated into relevant acquisition, procurement, analysis, and dissemination workflows.</t>
  </si>
  <si>
    <t>Licensing information and controls are maintained and updated as products, uses, agreements, and requirements change.</t>
  </si>
  <si>
    <t>D5 — Version and Update Management</t>
  </si>
  <si>
    <t>Versions are not reliably identified, and different users may unknowingly use different data.</t>
  </si>
  <si>
    <t>Version information appears in filenames or notes, but tracking and update decisions are inconsistent.</t>
  </si>
  <si>
    <t>Versions are documented, inputs are retained for reproducibility, and update decisions follow an established approach.</t>
  </si>
  <si>
    <t>Versions and variants are linked to relevant analysis runs, outputs, and update processes across applicable workflows.</t>
  </si>
  <si>
    <t>Version controls, archives, and update practices are monitored and improved as products and reproducibility needs evolve.</t>
  </si>
  <si>
    <t>D6 — Initial Data Integrity Screening</t>
  </si>
  <si>
    <t>Data are used without documented checks for basic integrity or obvious problems.</t>
  </si>
  <si>
    <t>Users perform visual or basic checks, but the checks and responses vary by person or project.</t>
  </si>
  <si>
    <t>Documented screening checks relevant units, missing values, coverage, continuity, file integrity, and potentially erroneous values for relevant uses.</t>
  </si>
  <si>
    <t>Screening is consistently incorporated into acquisition or ingestion workflows, and findings are recorded and reviewed.</t>
  </si>
  <si>
    <t>Screening rules and responses are monitored and updated using recurring issues, provider information, and changing product characteristics.</t>
  </si>
  <si>
    <t>E — Quality Control and Validation</t>
  </si>
  <si>
    <t>E1 — Evaluation Against Appropriate Reference Information</t>
  </si>
  <si>
    <t>No meaningful comparison with appropriate reference information is undertaken where such evaluation is feasible and relevant.</t>
  </si>
  <si>
    <t>Selected visual or summary comparisons are made, but methods and coverage are inconsistent.</t>
  </si>
  <si>
    <t>Documented qualitative or quantitative evaluations are conducted for relevant variables, locations, periods, and applications.</t>
  </si>
  <si>
    <t>Evaluation results are consistently used in product selection, interpretation, and application across relevant workflows.</t>
  </si>
  <si>
    <t>Evaluation methods and reference information are reviewed and updated as products, applications, evidence, and decision needs change.</t>
  </si>
  <si>
    <t>E2 — Documentation of Quality-Control and Validation Procedures</t>
  </si>
  <si>
    <t>Quality-control and validation activities are not documented.</t>
  </si>
  <si>
    <t>Some steps are retained in personal notes, scripts, or project files, but documentation is incomplete or difficult to access.</t>
  </si>
  <si>
    <t>Procedures, methods, assumptions, and results are documented for relevant applications and are accessible to appropriate users.</t>
  </si>
  <si>
    <t>Documentation is version-controlled, consistently maintained, reviewed, and linked to relevant data and outputs.</t>
  </si>
  <si>
    <t>Documentation requirements and procedures are evaluated and improved through use, review findings, and changing technical needs.</t>
  </si>
  <si>
    <t>E3 — Detection, Tracking and Resolution of Data Issues</t>
  </si>
  <si>
    <t>Issues are frequently missed, discovered late, or resolved without a retained record.</t>
  </si>
  <si>
    <t>Issues are corrected case by case, and some information is retained or shared informally.</t>
  </si>
  <si>
    <t>Detected issues, their potential impacts, decisions, and resolutions are recorded and tracked for relevant workflows.</t>
  </si>
  <si>
    <t>Issue-management procedures are consistently used across relevant teams, with responsibilities, communication, and preventive actions defined.</t>
  </si>
  <si>
    <t>Issue patterns and responses are reviewed to prevent recurrence, improve workflows, and engage providers when upstream action is appropriate.</t>
  </si>
  <si>
    <t>E4 — Evaluation of Biases and Their Application Relevance</t>
  </si>
  <si>
    <t>Relevant biases are unknown or assumed not to affect the application.</t>
  </si>
  <si>
    <t>General biases are recognized, but their magnitude or implications are not consistently evaluated.</t>
  </si>
  <si>
    <t>Biases relevant to the variables and applications in scope are identified and documented using appropriate evidence.</t>
  </si>
  <si>
    <t>The consequences of relevant biases are evaluated for decisions, and suitable treatment or mitigation options are assessed.</t>
  </si>
  <si>
    <t>Bias evaluation and treatment are monitored and updated as data, methods, applications, and observed performance change.</t>
  </si>
  <si>
    <t>E5 — Evaluation of Predictive or Ensemble Product Performance</t>
  </si>
  <si>
    <t>Applicable products are used without evaluating predictive performance, reliability, or ensemble behaviour.</t>
  </si>
  <si>
    <t>Visual or qualitative performance checks are conducted, but retrospective evaluation is limited or inconsistent.</t>
  </si>
  <si>
    <t>Appropriate hindcast or retrospective performance metrics are documented and evaluated for relevant use cases.</t>
  </si>
  <si>
    <t>Performance and reliability evidence consistently informs product selection, interpretation, thresholds, and user guidance.</t>
  </si>
  <si>
    <t>Performance is monitored over time, and evaluation, post-processing, or use guidance is updated as products and decision needs change.</t>
  </si>
  <si>
    <t>F — Fitness for Purpose and Constraints</t>
  </si>
  <si>
    <t>F1 — Use-Case Suitability and Consideration of Alternatives</t>
  </si>
  <si>
    <t>Climate information is selected without a clear assessment of the intended use, decision requirements, or viable alternatives.</t>
  </si>
  <si>
    <t>Suitability and alternatives are considered informally, but assumptions and trade-offs are not consistently documented.</t>
  </si>
  <si>
    <t>Selection follows documented use-case requirements and a proportionate comparison of viable information sources or approaches.</t>
  </si>
  <si>
    <t>Suitability assessments are consistently reviewed with appropriate subject-matter and decision experts and inform selection across relevant applications.</t>
  </si>
  <si>
    <t>Selection guidance, use-case knowledge, and comparisons are maintained and improved as products, applications, and constraints change.</t>
  </si>
  <si>
    <t>F2 — Spatial and Temporal Coverage, Scale and Resolution</t>
  </si>
  <si>
    <t>Spatial or temporal characteristics are not checked against the application's requirements.</t>
  </si>
  <si>
    <t>Basic geographic and time alignment is considered, but representativeness, scale, or resolution mismatches remain insufficiently evaluated.</t>
  </si>
  <si>
    <t>Coverage, scale, granularity, resolution, and relevant processing are documented and matched to relevant use cases.</t>
  </si>
  <si>
    <t>Material trade-offs and limitations are evaluated with appropriate expertise and consistently reflected in application design and interpretation.</t>
  </si>
  <si>
    <t>Suitability criteria and mitigation approaches are reviewed and updated as information sources, applications, and decision needs evolve.</t>
  </si>
  <si>
    <t>F3 — Variable and Indicator Adequacy</t>
  </si>
  <si>
    <t>Required variables or indicators are missing, poorly defined, or used without checking their adequacy.</t>
  </si>
  <si>
    <t>Basic availability is checked, but completeness, definitions, dependencies, or derivation requirements are not consistently assessed.</t>
  </si>
  <si>
    <t>Required variables and indicators are specified and assessed for completeness, consistency, and relevance to the use cases in scope.</t>
  </si>
  <si>
    <t>Derived indicators and multivariable requirements are developed or selected using appropriate climate and application expertise, with definitions and methods documented.</t>
  </si>
  <si>
    <t>Variable and indicator requirements are evaluated and updated as applications, thresholds, evidence, and available products change.</t>
  </si>
  <si>
    <t>F4 — Climate Scenario and Future-Condition Alignment</t>
  </si>
  <si>
    <t>Future climate information is selected without considering whether scenarios, time periods, and assumptions match the decision context.</t>
  </si>
  <si>
    <t>Scenario suitability is considered informally, but the rationale, limitations, or relationship to the decision is incomplete.</t>
  </si>
  <si>
    <t>Scenario and future-condition choices are documented and matched to the decision horizon, purpose, and material uncertainties.</t>
  </si>
  <si>
    <t>Plausible future conditions and their implications are consistently assessed for relevant climate-sensitive decisions, using multiple futures where appropriate.</t>
  </si>
  <si>
    <t>Scenario choices, assumptions, and decision responses are revisited as climate evidence, policies, thresholds, and planning conditions evolve.</t>
  </si>
  <si>
    <t>G — Understanding and Managing Data Limitations and Uncertainty</t>
  </si>
  <si>
    <t>G1 — Consequences of Data Gaps and Errors</t>
  </si>
  <si>
    <t>Data gaps or errors are treated mainly as technical issues, without assessing their consequences for decisions or outcomes.</t>
  </si>
  <si>
    <t>Potential consequences are recognized for selected applications but are assessed informally or reactively.</t>
  </si>
  <si>
    <t>Decision points and outcomes that may be materially affected by data gaps or errors are identified and documented.</t>
  </si>
  <si>
    <t>Consequence assessments inform controls, contingency data, fallback procedures, and review requirements for critical workflows.</t>
  </si>
  <si>
    <t>Consequences and controls are monitored and updated using incidents, changing dependencies, and evolving decision risks.</t>
  </si>
  <si>
    <t>G2 — Methodological Assumptions and Their Implications</t>
  </si>
  <si>
    <t>Material assumptions in data transformations, analyses, or models are not identified or reviewed.</t>
  </si>
  <si>
    <t>Some assumptions are recognized, but their influence on results and decisions is not consistently traced.</t>
  </si>
  <si>
    <t>Material assumptions and their expected implications are documented and reviewed for relevant applications.</t>
  </si>
  <si>
    <t>Assumptions are linked to uncertainty sources, outputs, and decision consequences across relevant workflows.</t>
  </si>
  <si>
    <t>Assumptions and their implications are tested and revisited as methods, evidence, and applications change.</t>
  </si>
  <si>
    <t>G3 — Sensitivity of Models and Applications to Climate Inputs</t>
  </si>
  <si>
    <t>The influence of climate inputs on model or application outputs is not assessed.</t>
  </si>
  <si>
    <t>Sensitivities are understood informally or explored in isolated analyses.</t>
  </si>
  <si>
    <t>A documented, proportionate assessment is conducted of how climate inputs influence outputs for material applications.</t>
  </si>
  <si>
    <t>Sensitivity evidence consistently informs input selection, model or application configuration, thresholds, and interpretation in relevant workflows.</t>
  </si>
  <si>
    <t>Sensitivities and decision thresholds are monitored and retested as inputs, models, applications, and conditions change.</t>
  </si>
  <si>
    <t>G4 — Risks of Misuse or Misinterpretation</t>
  </si>
  <si>
    <t>Risks from inappropriate use or interpretation are not recognized or managed.</t>
  </si>
  <si>
    <t>General cautions are communicated, but application-specific misuse risks and safeguards are limited.</t>
  </si>
  <si>
    <t>Known misuse risks, limitations, and appropriate-use conditions are documented for relevant applications.</t>
  </si>
  <si>
    <t>Proportionate safeguards, review requirements, warnings, and escalation pathways are embedded in high-consequence applications.</t>
  </si>
  <si>
    <t>Misuse risks and safeguards are reviewed and improved using incidents, user feedback, and changing applications.</t>
  </si>
  <si>
    <t>G5 — Characterization of Uncertainty</t>
  </si>
  <si>
    <t>Material uncertainty is omitted, treated as noise, or represented without a defensible basis.</t>
  </si>
  <si>
    <t>Some uncertainty ranges, scenarios, or qualitative statements are produced, but the underlying sources and implications are not consistently characterized.</t>
  </si>
  <si>
    <t>Material uncertainty sources are identified and characterized using methods appropriate to the product and application.</t>
  </si>
  <si>
    <t>Uncertainty characterization is consistently linked to relevant assumptions, results, and decision consequences.</t>
  </si>
  <si>
    <t>Uncertainty methods and their decision use are reviewed and updated as evidence, products, and needs change.</t>
  </si>
  <si>
    <t>G6 — Communication and Understanding of Uncertainty</t>
  </si>
  <si>
    <t>Outputs are communicated deterministically or without explaining material limitations and uncertainty.</t>
  </si>
  <si>
    <t>Uncertainty is shown, but interpretation and implications are largely left to users.</t>
  </si>
  <si>
    <t>Audience-appropriate explanations communicate material limitations, uncertainty, and appropriate interpretation using consistent terminology.</t>
  </si>
  <si>
    <t>Communication is tailored to the decision and audience, and understanding is checked for high-consequence applications.</t>
  </si>
  <si>
    <t>Communication approaches are evaluated and improved using user feedback, decision experience, and changing information needs.</t>
  </si>
  <si>
    <t>Section Summary</t>
  </si>
  <si>
    <t>Section summaries are descriptive discussion aids. They do not imply that strength in one criterion compensates for weakness in another and should not be compared across materially different assessment scopes.</t>
  </si>
  <si>
    <t>Section</t>
  </si>
  <si>
    <t>Median current maturity</t>
  </si>
  <si>
    <t>Minimum</t>
  </si>
  <si>
    <t>Maximum</t>
  </si>
  <si>
    <t>Scored criteria</t>
  </si>
  <si>
    <t>Term</t>
  </si>
  <si>
    <t>Definition</t>
  </si>
  <si>
    <t>Climate information</t>
  </si>
  <si>
    <t>Observations, reanalyses, weather and climate forecasts, climate-model projections, derived indicators, and related analytical products used to describe past, present, or plausible future conditions.</t>
  </si>
  <si>
    <t>The organization, business function, unit, or major operational area whose current capabilities are being rated.</t>
  </si>
  <si>
    <t>Role-appropriate understanding</t>
  </si>
  <si>
    <t>The climate knowledge needed to perform a person's responsibilities, recognize material limitations or risks, and seek specialist support when required.</t>
  </si>
  <si>
    <t>Planning and operational activities</t>
  </si>
  <si>
    <t>Organizational decisions and workflows concerned with strategy, investment, design, asset management, scheduling, operation, maintenance, emergency management, or related functions; the terms do not necessarily refer to teams bearing those names.</t>
  </si>
  <si>
    <t>Standardization</t>
  </si>
  <si>
    <t>The use of approved, documented, repeatable, and maintained requirements or procedures, which may differ appropriately among products, applications, or business functions.</t>
  </si>
  <si>
    <t>Validation</t>
  </si>
  <si>
    <t>Evaluation of whether data, methods, or outputs adequately represent relevant characteristics or performance for a defined purpose, using appropriate reference information and evidence.</t>
  </si>
  <si>
    <t>Initial data integrity screening</t>
  </si>
  <si>
    <t>Basic checks for issues such as missing values, units, coordinate systems, temporal continuity, file integrity, coverage, and potentially erroneous values before substantive evaluation or use. Screening flags values for review and should not automatically treat legitimate climate extremes as errors.</t>
  </si>
  <si>
    <t>Predictive skill</t>
  </si>
  <si>
    <t>The demonstrated performance of a forecast or prediction relative to observations and an appropriate reference or baseline; it does not refer to the competence of the analyst.</t>
  </si>
  <si>
    <t>Climate scenario</t>
  </si>
  <si>
    <t>A coherent representation of possible future conditions or drivers used to explore uncertainty; a scenario is not necessarily a prediction or statement of likelihood.</t>
  </si>
  <si>
    <t>Guided best fit</t>
  </si>
  <si>
    <t>Selection of the highest maturity level substantially and consistently demonstrated, subject to essential underlying capabilities and supported by evidence.</t>
  </si>
  <si>
    <t>Climate mitigation</t>
  </si>
  <si>
    <t>Human intervention to reduce greenhouse-gas sources and emissions or enhance greenhouse-gas sinks.</t>
  </si>
  <si>
    <t>Climate adaptation</t>
  </si>
  <si>
    <t>Adjustment in natural or human systems in response to actual or expected climate effects, intended to reduce harm or take advantage of beneficial opportunities.</t>
  </si>
  <si>
    <t>Internal climate expertise</t>
  </si>
  <si>
    <t>Personnel within the organization with relevant climate-science or climate-information expertise who can support appropriate interpretation and use.</t>
  </si>
  <si>
    <t>External climate expertise</t>
  </si>
  <si>
    <t>Appropriate expertise available from sources such as climate services, consultants, research institutions, data providers, or peer organizations.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</si>
</sst>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10">
    <font>
      <sz val="11"/>
      <name val="Carlito"/>
    </font>
    <font>
      <b/>
      <sz val="11"/>
      <color rgb="FFFFFFFF"/>
      <name val="Calibri"/>
      <family val="2"/>
    </font>
    <font>
      <sz val="11"/>
      <name val="Calibri"/>
      <family val="2"/>
    </font>
    <font>
      <b/>
      <sz val="11"/>
      <color rgb="FF17365D"/>
      <name val="Calibri"/>
      <family val="2"/>
    </font>
    <font>
      <b/>
      <sz val="11"/>
      <name val="Calibri"/>
      <family val="2"/>
    </font>
    <font>
      <i/>
      <sz val="11"/>
      <color rgb="FF595959"/>
      <name val="Calibri"/>
      <family val="2"/>
    </font>
    <font>
      <b/>
      <sz val="11"/>
      <color rgb="FFFFFFFF"/>
      <name val="Calibri"/>
      <family val="2"/>
    </font>
    <font>
      <b/>
      <sz val="11"/>
      <color rgb="FF1F1F1F"/>
      <name val="Calibri"/>
      <family val="2"/>
    </font>
    <font>
      <b/>
      <sz val="11"/>
      <color rgb="FF17365D"/>
      <name val="Calibri"/>
      <family val="2"/>
    </font>
    <font>
      <sz val="11"/>
      <name val="Calibri"/>
      <family val="2"/>
    </font>
  </fonts>
  <fills count="16">
    <fill>
      <patternFill patternType="none"/>
    </fill>
    <fill>
      <patternFill patternType="gray125"/>
    </fill>
    <fill>
      <patternFill patternType="solid">
        <fgColor rgb="FF17365D"/>
      </patternFill>
    </fill>
    <fill>
      <patternFill patternType="solid">
        <fgColor rgb="FFD9EAF7"/>
      </patternFill>
    </fill>
    <fill>
      <patternFill patternType="solid">
        <fgColor rgb="FFFFFFFF"/>
      </patternFill>
    </fill>
    <fill>
      <patternFill patternType="solid">
        <fgColor rgb="FFEAF3F8"/>
      </patternFill>
    </fill>
    <fill>
      <patternFill patternType="solid">
        <fgColor rgb="FFFFF2CC"/>
      </patternFill>
    </fill>
    <fill>
      <patternFill patternType="solid">
        <fgColor rgb="FFD9EAD3"/>
      </patternFill>
    </fill>
    <fill>
      <patternFill patternType="solid">
        <fgColor rgb="FFFAFAFA"/>
      </patternFill>
    </fill>
    <fill>
      <patternFill patternType="solid">
        <fgColor rgb="FFD0E0E3"/>
      </patternFill>
    </fill>
    <fill>
      <patternFill patternType="solid">
        <fgColor rgb="FFCFE2F3"/>
      </patternFill>
    </fill>
    <fill>
      <patternFill patternType="solid">
        <fgColor rgb="FFD9D2E9"/>
      </patternFill>
    </fill>
    <fill>
      <patternFill patternType="solid">
        <fgColor rgb="FFFCE5CD"/>
      </patternFill>
    </fill>
    <fill>
      <patternFill patternType="solid">
        <fgColor rgb="FFEAD1DC"/>
      </patternFill>
    </fill>
    <fill>
      <patternFill patternType="solid">
        <fgColor rgb="FFE7E6E6"/>
      </patternFill>
    </fill>
    <fill>
      <patternFill patternType="solid">
        <fgColor rgb="FFF3F6F8"/>
      </patternFill>
    </fill>
  </fills>
  <borders count="11">
    <border>
      <left/>
      <right/>
      <top/>
      <bottom/>
      <diagonal/>
    </border>
    <border>
      <left style="thin">
        <color rgb="FFA6A6A6"/>
      </left>
      <right/>
      <top style="thin">
        <color rgb="FFA6A6A6"/>
      </top>
      <bottom/>
      <diagonal/>
    </border>
    <border>
      <left/>
      <right/>
      <top style="thin">
        <color rgb="FFA6A6A6"/>
      </top>
      <bottom/>
      <diagonal/>
    </border>
    <border>
      <left/>
      <right style="thin">
        <color rgb="FFA6A6A6"/>
      </right>
      <top style="thin">
        <color rgb="FFA6A6A6"/>
      </top>
      <bottom/>
      <diagonal/>
    </border>
    <border>
      <left style="thin">
        <color rgb="FFA6A6A6"/>
      </left>
      <right/>
      <top/>
      <bottom/>
      <diagonal/>
    </border>
    <border>
      <left/>
      <right style="thin">
        <color rgb="FFA6A6A6"/>
      </right>
      <top/>
      <bottom/>
      <diagonal/>
    </border>
    <border>
      <left style="thin">
        <color rgb="FFA6A6A6"/>
      </left>
      <right/>
      <top/>
      <bottom style="thin">
        <color rgb="FFA6A6A6"/>
      </bottom>
      <diagonal/>
    </border>
    <border>
      <left/>
      <right/>
      <top/>
      <bottom style="thin">
        <color rgb="FFA6A6A6"/>
      </bottom>
      <diagonal/>
    </border>
    <border>
      <left/>
      <right style="thin">
        <color rgb="FFA6A6A6"/>
      </right>
      <top/>
      <bottom style="thin">
        <color rgb="FFA6A6A6"/>
      </bottom>
      <diagonal/>
    </border>
    <border>
      <left style="thin">
        <color rgb="FFFFFFFF"/>
      </left>
      <right style="thin">
        <color rgb="FFFFFFFF"/>
      </right>
      <top style="thin">
        <color rgb="FFFFFFFF"/>
      </top>
      <bottom style="thin">
        <color rgb="FFFFFFFF"/>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51">
    <xf numFmtId="0" fontId="0" fillId="0" borderId="0" xfId="0"/>
    <xf numFmtId="0" fontId="2" fillId="0" borderId="0" xfId="0" applyFont="1"/>
    <xf numFmtId="0" fontId="2" fillId="0" borderId="4" xfId="0" applyFont="1" applyBorder="1"/>
    <xf numFmtId="0" fontId="2" fillId="0" borderId="5" xfId="0" applyFont="1" applyBorder="1"/>
    <xf numFmtId="0" fontId="3" fillId="3" borderId="4" xfId="0" applyFont="1" applyFill="1" applyBorder="1" applyAlignment="1">
      <alignment vertical="center" wrapText="1"/>
    </xf>
    <xf numFmtId="0" fontId="1" fillId="2" borderId="10" xfId="0" applyFont="1" applyFill="1" applyBorder="1" applyAlignment="1">
      <alignment vertical="center" wrapText="1"/>
    </xf>
    <xf numFmtId="0" fontId="3" fillId="15" borderId="10" xfId="0" applyFont="1" applyFill="1" applyBorder="1" applyAlignment="1">
      <alignment wrapText="1"/>
    </xf>
    <xf numFmtId="165" fontId="2" fillId="15" borderId="10" xfId="0" applyNumberFormat="1" applyFont="1" applyFill="1" applyBorder="1"/>
    <xf numFmtId="1" fontId="2" fillId="15" borderId="10" xfId="0" applyNumberFormat="1" applyFont="1" applyFill="1" applyBorder="1"/>
    <xf numFmtId="0" fontId="3" fillId="4" borderId="10" xfId="0" applyFont="1" applyFill="1" applyBorder="1" applyAlignment="1">
      <alignment wrapText="1"/>
    </xf>
    <xf numFmtId="165" fontId="2" fillId="4" borderId="10" xfId="0" applyNumberFormat="1" applyFont="1" applyFill="1" applyBorder="1"/>
    <xf numFmtId="1" fontId="2" fillId="4" borderId="10" xfId="0" applyNumberFormat="1" applyFont="1" applyFill="1" applyBorder="1"/>
    <xf numFmtId="0" fontId="6" fillId="2" borderId="9" xfId="0" applyFont="1" applyFill="1" applyBorder="1" applyAlignment="1">
      <alignment vertical="center" wrapText="1"/>
    </xf>
    <xf numFmtId="0" fontId="8" fillId="0" borderId="10" xfId="0" applyFont="1" applyBorder="1" applyAlignment="1">
      <alignment vertical="top" wrapText="1"/>
    </xf>
    <xf numFmtId="0" fontId="9" fillId="0" borderId="10" xfId="0" applyFont="1" applyBorder="1" applyAlignment="1">
      <alignment vertical="top" wrapText="1"/>
    </xf>
    <xf numFmtId="0" fontId="9" fillId="8" borderId="10" xfId="0" applyFont="1" applyFill="1" applyBorder="1" applyAlignment="1">
      <alignment vertical="top" wrapText="1"/>
    </xf>
    <xf numFmtId="0" fontId="2" fillId="0" borderId="10" xfId="0" applyFont="1" applyBorder="1" applyAlignment="1">
      <alignment vertical="center" wrapText="1"/>
    </xf>
    <xf numFmtId="0" fontId="3" fillId="5" borderId="10" xfId="0" applyFont="1" applyFill="1" applyBorder="1" applyAlignment="1">
      <alignment vertical="center" wrapText="1"/>
    </xf>
    <xf numFmtId="0" fontId="1" fillId="2" borderId="4" xfId="0" applyFont="1" applyFill="1" applyBorder="1"/>
    <xf numFmtId="0" fontId="1" fillId="2" borderId="0" xfId="0" applyFont="1" applyFill="1"/>
    <xf numFmtId="0" fontId="1" fillId="2" borderId="5" xfId="0" applyFont="1" applyFill="1" applyBorder="1"/>
    <xf numFmtId="164" fontId="2" fillId="4" borderId="6" xfId="0" applyNumberFormat="1" applyFont="1" applyFill="1" applyBorder="1" applyAlignment="1">
      <alignment vertical="top" wrapText="1"/>
    </xf>
    <xf numFmtId="164" fontId="2" fillId="4" borderId="7" xfId="0" applyNumberFormat="1" applyFont="1" applyFill="1" applyBorder="1" applyAlignment="1">
      <alignment vertical="top" wrapText="1"/>
    </xf>
    <xf numFmtId="164" fontId="2" fillId="4" borderId="8" xfId="0" applyNumberFormat="1" applyFont="1" applyFill="1" applyBorder="1" applyAlignment="1">
      <alignment vertical="top" wrapText="1"/>
    </xf>
    <xf numFmtId="0" fontId="2" fillId="4" borderId="4" xfId="0" applyFont="1" applyFill="1" applyBorder="1" applyAlignment="1">
      <alignment vertical="top" wrapText="1"/>
    </xf>
    <xf numFmtId="0" fontId="2" fillId="4" borderId="0" xfId="0" applyFont="1" applyFill="1" applyAlignment="1">
      <alignment vertical="top" wrapText="1"/>
    </xf>
    <xf numFmtId="0" fontId="2" fillId="4" borderId="5" xfId="0" applyFont="1" applyFill="1" applyBorder="1" applyAlignment="1">
      <alignment vertical="top" wrapText="1"/>
    </xf>
    <xf numFmtId="0" fontId="1" fillId="2" borderId="1" xfId="0" applyFont="1"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2" fillId="4" borderId="1" xfId="0" applyFont="1" applyFill="1" applyBorder="1" applyAlignment="1">
      <alignment vertical="top" wrapText="1"/>
    </xf>
    <xf numFmtId="0" fontId="2" fillId="4" borderId="2" xfId="0" applyFont="1" applyFill="1" applyBorder="1" applyAlignment="1">
      <alignment vertical="top" wrapText="1"/>
    </xf>
    <xf numFmtId="0" fontId="2" fillId="4" borderId="3" xfId="0" applyFont="1" applyFill="1" applyBorder="1" applyAlignment="1">
      <alignment vertical="top" wrapText="1"/>
    </xf>
    <xf numFmtId="0" fontId="0" fillId="14" borderId="0" xfId="0" applyFill="1"/>
    <xf numFmtId="0" fontId="7" fillId="10" borderId="10" xfId="0" applyFont="1" applyFill="1" applyBorder="1" applyAlignment="1">
      <alignment vertical="center" wrapText="1"/>
    </xf>
    <xf numFmtId="0" fontId="7" fillId="11" borderId="10" xfId="0" applyFont="1" applyFill="1" applyBorder="1" applyAlignment="1">
      <alignment vertical="center" wrapText="1"/>
    </xf>
    <xf numFmtId="0" fontId="7" fillId="12" borderId="10" xfId="0" applyFont="1" applyFill="1" applyBorder="1" applyAlignment="1">
      <alignment vertical="center" wrapText="1"/>
    </xf>
    <xf numFmtId="0" fontId="7" fillId="6" borderId="10" xfId="0" applyFont="1" applyFill="1" applyBorder="1" applyAlignment="1">
      <alignment vertical="center" wrapText="1"/>
    </xf>
    <xf numFmtId="0" fontId="7" fillId="13" borderId="10" xfId="0" applyFont="1" applyFill="1" applyBorder="1" applyAlignment="1">
      <alignment vertical="center" wrapText="1"/>
    </xf>
    <xf numFmtId="0" fontId="6" fillId="2" borderId="9" xfId="0" applyFont="1" applyFill="1" applyBorder="1" applyAlignment="1">
      <alignment vertical="center" wrapText="1"/>
    </xf>
    <xf numFmtId="0" fontId="7" fillId="7" borderId="10" xfId="0" applyFont="1" applyFill="1" applyBorder="1" applyAlignment="1">
      <alignment vertical="center" wrapText="1"/>
    </xf>
    <xf numFmtId="0" fontId="7" fillId="9" borderId="10" xfId="0" applyFont="1" applyFill="1" applyBorder="1" applyAlignment="1">
      <alignment vertical="center" wrapText="1"/>
    </xf>
    <xf numFmtId="0" fontId="1" fillId="2" borderId="0" xfId="0" applyFont="1" applyFill="1" applyAlignment="1">
      <alignment vertical="center"/>
    </xf>
    <xf numFmtId="0" fontId="5" fillId="6" borderId="0" xfId="0" applyFont="1" applyFill="1" applyAlignment="1">
      <alignment wrapText="1"/>
    </xf>
    <xf numFmtId="0" fontId="2" fillId="0" borderId="0" xfId="0" applyFont="1" applyAlignment="1">
      <alignment vertical="center" wrapText="1"/>
    </xf>
    <xf numFmtId="0" fontId="2" fillId="0" borderId="5" xfId="0" applyFont="1" applyBorder="1" applyAlignment="1">
      <alignment vertical="center" wrapText="1"/>
    </xf>
    <xf numFmtId="0" fontId="4" fillId="6" borderId="4" xfId="0" applyFont="1" applyFill="1" applyBorder="1" applyAlignment="1">
      <alignment vertical="center" wrapText="1"/>
    </xf>
    <xf numFmtId="0" fontId="4" fillId="6" borderId="6" xfId="0" applyFont="1" applyFill="1" applyBorder="1" applyAlignment="1">
      <alignment vertical="center" wrapText="1"/>
    </xf>
    <xf numFmtId="0" fontId="2" fillId="0" borderId="7" xfId="0" applyFont="1" applyBorder="1" applyAlignment="1">
      <alignment vertical="center" wrapText="1"/>
    </xf>
    <xf numFmtId="0" fontId="2" fillId="0" borderId="8" xfId="0" applyFont="1" applyBorder="1" applyAlignment="1">
      <alignment vertical="center" wrapText="1"/>
    </xf>
    <xf numFmtId="0" fontId="3" fillId="5" borderId="4" xfId="0" applyFont="1" applyFill="1" applyBorder="1" applyAlignment="1">
      <alignment vertical="center" wrapText="1"/>
    </xf>
  </cellXfs>
  <cellStyles count="1">
    <cellStyle name="Normal" xfId="0" builtinId="0"/>
  </cellStyles>
  <dxfs count="5">
    <dxf>
      <fill>
        <patternFill patternType="solid">
          <bgColor rgb="FFFFF2CC"/>
        </patternFill>
      </fill>
    </dxf>
    <dxf>
      <fill>
        <patternFill patternType="solid">
          <bgColor rgb="FFE2F0D9"/>
        </patternFill>
      </fill>
    </dxf>
    <dxf>
      <fill>
        <patternFill patternType="solid">
          <bgColor rgb="FFFCE4D6"/>
        </patternFill>
      </fill>
    </dxf>
    <dxf>
      <fill>
        <patternFill patternType="solid">
          <bgColor rgb="FFFFF2CC"/>
        </patternFill>
      </fill>
    </dxf>
    <dxf>
      <fill>
        <patternFill patternType="solid">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1"/>
  <sheetViews>
    <sheetView topLeftCell="A14" workbookViewId="0">
      <selection activeCell="B10" sqref="B10:H10"/>
    </sheetView>
  </sheetViews>
  <sheetFormatPr defaultRowHeight="13.8"/>
  <cols>
    <col min="1" max="1" width="31" customWidth="1"/>
    <col min="2" max="8" width="16" customWidth="1"/>
  </cols>
  <sheetData>
    <row r="1" spans="1:8" ht="24" customHeight="1">
      <c r="A1" s="27" t="s">
        <v>0</v>
      </c>
      <c r="B1" s="28"/>
      <c r="C1" s="28"/>
      <c r="D1" s="28"/>
      <c r="E1" s="28"/>
      <c r="F1" s="28"/>
      <c r="G1" s="28"/>
      <c r="H1" s="29"/>
    </row>
    <row r="2" spans="1:8" ht="14.4">
      <c r="A2" s="2"/>
      <c r="B2" s="1"/>
      <c r="C2" s="1"/>
      <c r="D2" s="1"/>
      <c r="E2" s="1"/>
      <c r="F2" s="1"/>
      <c r="G2" s="1"/>
      <c r="H2" s="3"/>
    </row>
    <row r="3" spans="1:8" ht="16.8" customHeight="1">
      <c r="A3" s="4" t="s">
        <v>1</v>
      </c>
      <c r="B3" s="30"/>
      <c r="C3" s="31"/>
      <c r="D3" s="31"/>
      <c r="E3" s="31"/>
      <c r="F3" s="31"/>
      <c r="G3" s="31"/>
      <c r="H3" s="32"/>
    </row>
    <row r="4" spans="1:8" ht="15" customHeight="1">
      <c r="A4" s="4" t="s">
        <v>2</v>
      </c>
      <c r="B4" s="24"/>
      <c r="C4" s="25"/>
      <c r="D4" s="25"/>
      <c r="E4" s="25"/>
      <c r="F4" s="25"/>
      <c r="G4" s="25"/>
      <c r="H4" s="26"/>
    </row>
    <row r="5" spans="1:8" ht="26.4" customHeight="1">
      <c r="A5" s="4" t="s">
        <v>3</v>
      </c>
      <c r="B5" s="24"/>
      <c r="C5" s="25"/>
      <c r="D5" s="25"/>
      <c r="E5" s="25"/>
      <c r="F5" s="25"/>
      <c r="G5" s="25"/>
      <c r="H5" s="26"/>
    </row>
    <row r="6" spans="1:8" ht="17.399999999999999" customHeight="1">
      <c r="A6" s="4" t="s">
        <v>4</v>
      </c>
      <c r="B6" s="24"/>
      <c r="C6" s="25"/>
      <c r="D6" s="25"/>
      <c r="E6" s="25"/>
      <c r="F6" s="25"/>
      <c r="G6" s="25"/>
      <c r="H6" s="26"/>
    </row>
    <row r="7" spans="1:8" ht="14.4" customHeight="1">
      <c r="A7" s="4" t="s">
        <v>5</v>
      </c>
      <c r="B7" s="24"/>
      <c r="C7" s="25"/>
      <c r="D7" s="25"/>
      <c r="E7" s="25"/>
      <c r="F7" s="25"/>
      <c r="G7" s="25"/>
      <c r="H7" s="26"/>
    </row>
    <row r="8" spans="1:8" ht="19.2" customHeight="1">
      <c r="A8" s="4" t="s">
        <v>6</v>
      </c>
      <c r="B8" s="24"/>
      <c r="C8" s="25"/>
      <c r="D8" s="25"/>
      <c r="E8" s="25"/>
      <c r="F8" s="25"/>
      <c r="G8" s="25"/>
      <c r="H8" s="26"/>
    </row>
    <row r="9" spans="1:8" ht="27.6" customHeight="1">
      <c r="A9" s="4" t="s">
        <v>7</v>
      </c>
      <c r="B9" s="24"/>
      <c r="C9" s="25"/>
      <c r="D9" s="25"/>
      <c r="E9" s="25"/>
      <c r="F9" s="25"/>
      <c r="G9" s="25"/>
      <c r="H9" s="26"/>
    </row>
    <row r="10" spans="1:8" ht="16.8" customHeight="1">
      <c r="A10" s="4" t="s">
        <v>8</v>
      </c>
      <c r="B10" s="24"/>
      <c r="C10" s="25"/>
      <c r="D10" s="25"/>
      <c r="E10" s="25"/>
      <c r="F10" s="25"/>
      <c r="G10" s="25"/>
      <c r="H10" s="26"/>
    </row>
    <row r="11" spans="1:8" ht="15" customHeight="1">
      <c r="A11" s="4" t="s">
        <v>9</v>
      </c>
      <c r="B11" s="24"/>
      <c r="C11" s="25"/>
      <c r="D11" s="25"/>
      <c r="E11" s="25"/>
      <c r="F11" s="25"/>
      <c r="G11" s="25"/>
      <c r="H11" s="26"/>
    </row>
    <row r="12" spans="1:8" ht="15" customHeight="1">
      <c r="A12" s="4" t="s">
        <v>10</v>
      </c>
      <c r="B12" s="21"/>
      <c r="C12" s="22"/>
      <c r="D12" s="22"/>
      <c r="E12" s="22"/>
      <c r="F12" s="22"/>
      <c r="G12" s="22"/>
      <c r="H12" s="23"/>
    </row>
    <row r="13" spans="1:8" ht="12" customHeight="1">
      <c r="A13" s="2"/>
      <c r="B13" s="1"/>
      <c r="C13" s="1"/>
      <c r="D13" s="1"/>
      <c r="E13" s="1"/>
      <c r="F13" s="1"/>
      <c r="G13" s="1"/>
      <c r="H13" s="3"/>
    </row>
    <row r="14" spans="1:8" ht="12" customHeight="1">
      <c r="A14" s="18" t="s">
        <v>11</v>
      </c>
      <c r="B14" s="19"/>
      <c r="C14" s="19"/>
      <c r="D14" s="19"/>
      <c r="E14" s="19"/>
      <c r="F14" s="19"/>
      <c r="G14" s="19"/>
      <c r="H14" s="20"/>
    </row>
    <row r="15" spans="1:8" ht="31.8" customHeight="1">
      <c r="A15" s="50" t="s">
        <v>12</v>
      </c>
      <c r="B15" s="44" t="s">
        <v>13</v>
      </c>
      <c r="C15" s="44"/>
      <c r="D15" s="44"/>
      <c r="E15" s="44"/>
      <c r="F15" s="44"/>
      <c r="G15" s="44"/>
      <c r="H15" s="45"/>
    </row>
    <row r="16" spans="1:8" ht="30" customHeight="1">
      <c r="A16" s="50" t="s">
        <v>14</v>
      </c>
      <c r="B16" s="44" t="s">
        <v>15</v>
      </c>
      <c r="C16" s="44"/>
      <c r="D16" s="44"/>
      <c r="E16" s="44"/>
      <c r="F16" s="44"/>
      <c r="G16" s="44"/>
      <c r="H16" s="45"/>
    </row>
    <row r="17" spans="1:8" ht="32.4" customHeight="1">
      <c r="A17" s="50" t="s">
        <v>16</v>
      </c>
      <c r="B17" s="44" t="s">
        <v>17</v>
      </c>
      <c r="C17" s="44"/>
      <c r="D17" s="44"/>
      <c r="E17" s="44"/>
      <c r="F17" s="44"/>
      <c r="G17" s="44"/>
      <c r="H17" s="45"/>
    </row>
    <row r="18" spans="1:8" ht="24" customHeight="1">
      <c r="A18" s="50" t="s">
        <v>18</v>
      </c>
      <c r="B18" s="44" t="s">
        <v>19</v>
      </c>
      <c r="C18" s="44"/>
      <c r="D18" s="44"/>
      <c r="E18" s="44"/>
      <c r="F18" s="44"/>
      <c r="G18" s="44"/>
      <c r="H18" s="45"/>
    </row>
    <row r="19" spans="1:8" ht="33" customHeight="1">
      <c r="A19" s="50" t="s">
        <v>20</v>
      </c>
      <c r="B19" s="44" t="s">
        <v>21</v>
      </c>
      <c r="C19" s="44"/>
      <c r="D19" s="44"/>
      <c r="E19" s="44"/>
      <c r="F19" s="44"/>
      <c r="G19" s="44"/>
      <c r="H19" s="45"/>
    </row>
    <row r="20" spans="1:8" ht="32.4" customHeight="1">
      <c r="A20" s="50" t="s">
        <v>22</v>
      </c>
      <c r="B20" s="44" t="s">
        <v>23</v>
      </c>
      <c r="C20" s="44"/>
      <c r="D20" s="44"/>
      <c r="E20" s="44"/>
      <c r="F20" s="44"/>
      <c r="G20" s="44"/>
      <c r="H20" s="45"/>
    </row>
    <row r="21" spans="1:8" ht="30.6" customHeight="1">
      <c r="A21" s="50" t="s">
        <v>24</v>
      </c>
      <c r="B21" s="44" t="s">
        <v>25</v>
      </c>
      <c r="C21" s="44"/>
      <c r="D21" s="44"/>
      <c r="E21" s="44"/>
      <c r="F21" s="44"/>
      <c r="G21" s="44"/>
      <c r="H21" s="45"/>
    </row>
    <row r="22" spans="1:8" ht="30.6" customHeight="1">
      <c r="A22" s="50" t="s">
        <v>26</v>
      </c>
      <c r="B22" s="44" t="s">
        <v>27</v>
      </c>
      <c r="C22" s="44"/>
      <c r="D22" s="44"/>
      <c r="E22" s="44"/>
      <c r="F22" s="44"/>
      <c r="G22" s="44"/>
      <c r="H22" s="45"/>
    </row>
    <row r="23" spans="1:8" ht="30.6" customHeight="1">
      <c r="A23" s="50" t="s">
        <v>28</v>
      </c>
      <c r="B23" s="44" t="s">
        <v>29</v>
      </c>
      <c r="C23" s="44"/>
      <c r="D23" s="44"/>
      <c r="E23" s="44"/>
      <c r="F23" s="44"/>
      <c r="G23" s="44"/>
      <c r="H23" s="45"/>
    </row>
    <row r="24" spans="1:8" ht="12" customHeight="1">
      <c r="A24" s="2"/>
      <c r="B24" s="1"/>
      <c r="C24" s="1"/>
      <c r="D24" s="1"/>
      <c r="E24" s="1"/>
      <c r="F24" s="1"/>
      <c r="G24" s="1"/>
      <c r="H24" s="3"/>
    </row>
    <row r="25" spans="1:8" ht="12" customHeight="1">
      <c r="A25" s="2"/>
      <c r="B25" s="1"/>
      <c r="C25" s="1"/>
      <c r="D25" s="1"/>
      <c r="E25" s="1"/>
      <c r="F25" s="1"/>
      <c r="G25" s="1"/>
      <c r="H25" s="3"/>
    </row>
    <row r="26" spans="1:8" ht="12" customHeight="1">
      <c r="A26" s="18" t="s">
        <v>30</v>
      </c>
      <c r="B26" s="19"/>
      <c r="C26" s="19"/>
      <c r="D26" s="19"/>
      <c r="E26" s="19"/>
      <c r="F26" s="19"/>
      <c r="G26" s="19"/>
      <c r="H26" s="20"/>
    </row>
    <row r="27" spans="1:8" ht="16.8" customHeight="1">
      <c r="A27" s="46" t="s">
        <v>31</v>
      </c>
      <c r="B27" s="44" t="s">
        <v>32</v>
      </c>
      <c r="C27" s="44"/>
      <c r="D27" s="44"/>
      <c r="E27" s="44"/>
      <c r="F27" s="44"/>
      <c r="G27" s="44"/>
      <c r="H27" s="45"/>
    </row>
    <row r="28" spans="1:8" ht="15" customHeight="1">
      <c r="A28" s="46" t="s">
        <v>33</v>
      </c>
      <c r="B28" s="44" t="s">
        <v>34</v>
      </c>
      <c r="C28" s="44"/>
      <c r="D28" s="44"/>
      <c r="E28" s="44"/>
      <c r="F28" s="44"/>
      <c r="G28" s="44"/>
      <c r="H28" s="45"/>
    </row>
    <row r="29" spans="1:8" ht="16.2" customHeight="1">
      <c r="A29" s="46" t="s">
        <v>35</v>
      </c>
      <c r="B29" s="44" t="s">
        <v>36</v>
      </c>
      <c r="C29" s="44"/>
      <c r="D29" s="44"/>
      <c r="E29" s="44"/>
      <c r="F29" s="44"/>
      <c r="G29" s="44"/>
      <c r="H29" s="45"/>
    </row>
    <row r="30" spans="1:8" ht="19.8" customHeight="1">
      <c r="A30" s="46" t="s">
        <v>37</v>
      </c>
      <c r="B30" s="44" t="s">
        <v>38</v>
      </c>
      <c r="C30" s="44"/>
      <c r="D30" s="44"/>
      <c r="E30" s="44"/>
      <c r="F30" s="44"/>
      <c r="G30" s="44"/>
      <c r="H30" s="45"/>
    </row>
    <row r="31" spans="1:8" ht="18" customHeight="1">
      <c r="A31" s="47" t="s">
        <v>39</v>
      </c>
      <c r="B31" s="48" t="s">
        <v>40</v>
      </c>
      <c r="C31" s="48"/>
      <c r="D31" s="48"/>
      <c r="E31" s="48"/>
      <c r="F31" s="48"/>
      <c r="G31" s="48"/>
      <c r="H31" s="49"/>
    </row>
  </sheetData>
  <mergeCells count="27">
    <mergeCell ref="A1:H1"/>
    <mergeCell ref="B3:H3"/>
    <mergeCell ref="B4:H4"/>
    <mergeCell ref="B5:H5"/>
    <mergeCell ref="B6:H6"/>
    <mergeCell ref="B7:H7"/>
    <mergeCell ref="B8:H8"/>
    <mergeCell ref="B9:H9"/>
    <mergeCell ref="B10:H10"/>
    <mergeCell ref="B11:H11"/>
    <mergeCell ref="B12:H12"/>
    <mergeCell ref="A14:H14"/>
    <mergeCell ref="B15:H15"/>
    <mergeCell ref="B16:H16"/>
    <mergeCell ref="B17:H17"/>
    <mergeCell ref="B18:H18"/>
    <mergeCell ref="B19:H19"/>
    <mergeCell ref="B20:H20"/>
    <mergeCell ref="B21:H21"/>
    <mergeCell ref="B22:H22"/>
    <mergeCell ref="B30:H30"/>
    <mergeCell ref="B31:H31"/>
    <mergeCell ref="B23:H23"/>
    <mergeCell ref="A26:H26"/>
    <mergeCell ref="B27:H27"/>
    <mergeCell ref="B28:H28"/>
    <mergeCell ref="B29:H2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7"/>
  <sheetViews>
    <sheetView workbookViewId="0">
      <selection sqref="A1:B2"/>
    </sheetView>
  </sheetViews>
  <sheetFormatPr defaultRowHeight="13.8"/>
  <cols>
    <col min="1" max="1" width="27" customWidth="1"/>
    <col min="2" max="2" width="31" customWidth="1"/>
    <col min="3" max="7" width="35" customWidth="1"/>
    <col min="8" max="8" width="18" customWidth="1"/>
    <col min="9" max="10" width="16" customWidth="1"/>
    <col min="11" max="11" width="35" customWidth="1"/>
  </cols>
  <sheetData>
    <row r="1" spans="1:11" ht="22.35" customHeight="1">
      <c r="A1" s="39" t="s">
        <v>41</v>
      </c>
      <c r="B1" s="39"/>
      <c r="C1" s="39" t="s">
        <v>42</v>
      </c>
      <c r="D1" s="39"/>
      <c r="E1" s="39"/>
      <c r="F1" s="39"/>
      <c r="G1" s="39"/>
      <c r="H1" s="39" t="s">
        <v>43</v>
      </c>
      <c r="I1" s="39"/>
      <c r="J1" s="39"/>
      <c r="K1" s="39"/>
    </row>
    <row r="2" spans="1:11" ht="34.200000000000003" customHeight="1">
      <c r="A2" s="39"/>
      <c r="B2" s="39"/>
      <c r="C2" s="12" t="s">
        <v>44</v>
      </c>
      <c r="D2" s="12" t="s">
        <v>45</v>
      </c>
      <c r="E2" s="12" t="s">
        <v>46</v>
      </c>
      <c r="F2" s="12" t="s">
        <v>47</v>
      </c>
      <c r="G2" s="12" t="s">
        <v>48</v>
      </c>
      <c r="H2" s="12" t="s">
        <v>49</v>
      </c>
      <c r="I2" s="12" t="s">
        <v>50</v>
      </c>
      <c r="J2" s="12" t="s">
        <v>51</v>
      </c>
      <c r="K2" s="12" t="s">
        <v>52</v>
      </c>
    </row>
    <row r="3" spans="1:11" ht="6.45" customHeight="1">
      <c r="A3" s="33"/>
      <c r="B3" s="33"/>
      <c r="C3" s="33"/>
      <c r="D3" s="33"/>
      <c r="E3" s="33"/>
      <c r="F3" s="33"/>
      <c r="G3" s="33"/>
      <c r="H3" s="33"/>
      <c r="I3" s="33"/>
      <c r="J3" s="33"/>
      <c r="K3" s="33"/>
    </row>
    <row r="4" spans="1:11" ht="62.4" customHeight="1">
      <c r="A4" s="40" t="s">
        <v>53</v>
      </c>
      <c r="B4" s="13" t="s">
        <v>54</v>
      </c>
      <c r="C4" s="14" t="s">
        <v>55</v>
      </c>
      <c r="D4" s="14" t="s">
        <v>56</v>
      </c>
      <c r="E4" s="14" t="s">
        <v>57</v>
      </c>
      <c r="F4" s="14" t="s">
        <v>58</v>
      </c>
      <c r="G4" s="14" t="s">
        <v>59</v>
      </c>
      <c r="H4" s="15"/>
      <c r="I4" s="15"/>
      <c r="J4" s="15"/>
      <c r="K4" s="15"/>
    </row>
    <row r="5" spans="1:11" ht="62.4" customHeight="1">
      <c r="A5" s="40"/>
      <c r="B5" s="13" t="s">
        <v>60</v>
      </c>
      <c r="C5" s="14" t="s">
        <v>61</v>
      </c>
      <c r="D5" s="14" t="s">
        <v>62</v>
      </c>
      <c r="E5" s="14" t="s">
        <v>63</v>
      </c>
      <c r="F5" s="14" t="s">
        <v>64</v>
      </c>
      <c r="G5" s="14" t="s">
        <v>65</v>
      </c>
      <c r="H5" s="15"/>
      <c r="I5" s="15"/>
      <c r="J5" s="15"/>
      <c r="K5" s="15"/>
    </row>
    <row r="6" spans="1:11" ht="62.4" customHeight="1">
      <c r="A6" s="40"/>
      <c r="B6" s="13" t="s">
        <v>66</v>
      </c>
      <c r="C6" s="14" t="s">
        <v>67</v>
      </c>
      <c r="D6" s="14" t="s">
        <v>68</v>
      </c>
      <c r="E6" s="14" t="s">
        <v>69</v>
      </c>
      <c r="F6" s="14" t="s">
        <v>70</v>
      </c>
      <c r="G6" s="14" t="s">
        <v>71</v>
      </c>
      <c r="H6" s="15"/>
      <c r="I6" s="15"/>
      <c r="J6" s="15"/>
      <c r="K6" s="15"/>
    </row>
    <row r="7" spans="1:11" ht="62.4" customHeight="1">
      <c r="A7" s="40"/>
      <c r="B7" s="13" t="s">
        <v>72</v>
      </c>
      <c r="C7" s="14" t="s">
        <v>73</v>
      </c>
      <c r="D7" s="14" t="s">
        <v>74</v>
      </c>
      <c r="E7" s="14" t="s">
        <v>75</v>
      </c>
      <c r="F7" s="14" t="s">
        <v>76</v>
      </c>
      <c r="G7" s="14" t="s">
        <v>77</v>
      </c>
      <c r="H7" s="15"/>
      <c r="I7" s="15"/>
      <c r="J7" s="15"/>
      <c r="K7" s="15"/>
    </row>
    <row r="8" spans="1:11" ht="62.4" customHeight="1">
      <c r="A8" s="40"/>
      <c r="B8" s="13" t="s">
        <v>78</v>
      </c>
      <c r="C8" s="14" t="s">
        <v>79</v>
      </c>
      <c r="D8" s="14" t="s">
        <v>80</v>
      </c>
      <c r="E8" s="14" t="s">
        <v>81</v>
      </c>
      <c r="F8" s="14" t="s">
        <v>82</v>
      </c>
      <c r="G8" s="14" t="s">
        <v>83</v>
      </c>
      <c r="H8" s="15"/>
      <c r="I8" s="15"/>
      <c r="J8" s="15"/>
      <c r="K8" s="15"/>
    </row>
    <row r="9" spans="1:11" ht="62.4" customHeight="1">
      <c r="A9" s="40"/>
      <c r="B9" s="13" t="s">
        <v>84</v>
      </c>
      <c r="C9" s="14" t="s">
        <v>85</v>
      </c>
      <c r="D9" s="14" t="s">
        <v>86</v>
      </c>
      <c r="E9" s="14" t="s">
        <v>87</v>
      </c>
      <c r="F9" s="14" t="s">
        <v>88</v>
      </c>
      <c r="G9" s="14" t="s">
        <v>89</v>
      </c>
      <c r="H9" s="15"/>
      <c r="I9" s="15"/>
      <c r="J9" s="15"/>
      <c r="K9" s="15"/>
    </row>
    <row r="10" spans="1:11" ht="62.4" customHeight="1">
      <c r="A10" s="40"/>
      <c r="B10" s="13" t="s">
        <v>90</v>
      </c>
      <c r="C10" s="14" t="s">
        <v>91</v>
      </c>
      <c r="D10" s="14" t="s">
        <v>92</v>
      </c>
      <c r="E10" s="14" t="s">
        <v>93</v>
      </c>
      <c r="F10" s="14" t="s">
        <v>94</v>
      </c>
      <c r="G10" s="14" t="s">
        <v>95</v>
      </c>
      <c r="H10" s="15"/>
      <c r="I10" s="15"/>
      <c r="J10" s="15"/>
      <c r="K10" s="15"/>
    </row>
    <row r="11" spans="1:11" ht="62.4" customHeight="1">
      <c r="A11" s="33"/>
      <c r="B11" s="33"/>
      <c r="C11" s="33"/>
      <c r="D11" s="33"/>
      <c r="E11" s="33"/>
      <c r="F11" s="33"/>
      <c r="G11" s="33"/>
      <c r="H11" s="33"/>
      <c r="I11" s="33"/>
      <c r="J11" s="33"/>
      <c r="K11" s="33"/>
    </row>
    <row r="12" spans="1:11" ht="62.4" customHeight="1">
      <c r="A12" s="41" t="s">
        <v>96</v>
      </c>
      <c r="B12" s="13" t="s">
        <v>97</v>
      </c>
      <c r="C12" s="14" t="s">
        <v>98</v>
      </c>
      <c r="D12" s="14" t="s">
        <v>99</v>
      </c>
      <c r="E12" s="14" t="s">
        <v>100</v>
      </c>
      <c r="F12" s="14" t="s">
        <v>101</v>
      </c>
      <c r="G12" s="14" t="s">
        <v>102</v>
      </c>
      <c r="H12" s="15"/>
      <c r="I12" s="15"/>
      <c r="J12" s="15"/>
      <c r="K12" s="15"/>
    </row>
    <row r="13" spans="1:11" ht="62.4" customHeight="1">
      <c r="A13" s="41"/>
      <c r="B13" s="13" t="s">
        <v>103</v>
      </c>
      <c r="C13" s="14" t="s">
        <v>104</v>
      </c>
      <c r="D13" s="14" t="s">
        <v>105</v>
      </c>
      <c r="E13" s="14" t="s">
        <v>106</v>
      </c>
      <c r="F13" s="14" t="s">
        <v>107</v>
      </c>
      <c r="G13" s="14" t="s">
        <v>108</v>
      </c>
      <c r="H13" s="15"/>
      <c r="I13" s="15"/>
      <c r="J13" s="15"/>
      <c r="K13" s="15"/>
    </row>
    <row r="14" spans="1:11" ht="62.4" customHeight="1">
      <c r="A14" s="41"/>
      <c r="B14" s="13" t="s">
        <v>109</v>
      </c>
      <c r="C14" s="14" t="s">
        <v>110</v>
      </c>
      <c r="D14" s="14" t="s">
        <v>111</v>
      </c>
      <c r="E14" s="14" t="s">
        <v>112</v>
      </c>
      <c r="F14" s="14" t="s">
        <v>113</v>
      </c>
      <c r="G14" s="14" t="s">
        <v>114</v>
      </c>
      <c r="H14" s="15"/>
      <c r="I14" s="15"/>
      <c r="J14" s="15"/>
      <c r="K14" s="15"/>
    </row>
    <row r="15" spans="1:11" ht="62.4" customHeight="1">
      <c r="A15" s="33"/>
      <c r="B15" s="33"/>
      <c r="C15" s="33"/>
      <c r="D15" s="33"/>
      <c r="E15" s="33"/>
      <c r="F15" s="33"/>
      <c r="G15" s="33"/>
      <c r="H15" s="33"/>
      <c r="I15" s="33"/>
      <c r="J15" s="33"/>
      <c r="K15" s="33"/>
    </row>
    <row r="16" spans="1:11" ht="62.4" customHeight="1">
      <c r="A16" s="34" t="s">
        <v>115</v>
      </c>
      <c r="B16" s="13" t="s">
        <v>116</v>
      </c>
      <c r="C16" s="14" t="s">
        <v>117</v>
      </c>
      <c r="D16" s="14" t="s">
        <v>118</v>
      </c>
      <c r="E16" s="14" t="s">
        <v>119</v>
      </c>
      <c r="F16" s="14" t="s">
        <v>120</v>
      </c>
      <c r="G16" s="14" t="s">
        <v>121</v>
      </c>
      <c r="H16" s="15"/>
      <c r="I16" s="15"/>
      <c r="J16" s="15"/>
      <c r="K16" s="15"/>
    </row>
    <row r="17" spans="1:11" ht="62.4" customHeight="1">
      <c r="A17" s="34"/>
      <c r="B17" s="13" t="s">
        <v>122</v>
      </c>
      <c r="C17" s="14" t="s">
        <v>123</v>
      </c>
      <c r="D17" s="14" t="s">
        <v>124</v>
      </c>
      <c r="E17" s="14" t="s">
        <v>125</v>
      </c>
      <c r="F17" s="14" t="s">
        <v>126</v>
      </c>
      <c r="G17" s="14" t="s">
        <v>127</v>
      </c>
      <c r="H17" s="15"/>
      <c r="I17" s="15"/>
      <c r="J17" s="15"/>
      <c r="K17" s="15"/>
    </row>
    <row r="18" spans="1:11" ht="62.4" customHeight="1">
      <c r="A18" s="34"/>
      <c r="B18" s="13" t="s">
        <v>128</v>
      </c>
      <c r="C18" s="14" t="s">
        <v>129</v>
      </c>
      <c r="D18" s="14" t="s">
        <v>130</v>
      </c>
      <c r="E18" s="14" t="s">
        <v>131</v>
      </c>
      <c r="F18" s="14" t="s">
        <v>132</v>
      </c>
      <c r="G18" s="14" t="s">
        <v>133</v>
      </c>
      <c r="H18" s="15"/>
      <c r="I18" s="15"/>
      <c r="J18" s="15"/>
      <c r="K18" s="15"/>
    </row>
    <row r="19" spans="1:11" ht="62.4" customHeight="1">
      <c r="A19" s="34"/>
      <c r="B19" s="13" t="s">
        <v>134</v>
      </c>
      <c r="C19" s="14" t="s">
        <v>135</v>
      </c>
      <c r="D19" s="14" t="s">
        <v>136</v>
      </c>
      <c r="E19" s="14" t="s">
        <v>137</v>
      </c>
      <c r="F19" s="14" t="s">
        <v>138</v>
      </c>
      <c r="G19" s="14" t="s">
        <v>139</v>
      </c>
      <c r="H19" s="15"/>
      <c r="I19" s="15"/>
      <c r="J19" s="15"/>
      <c r="K19" s="15"/>
    </row>
    <row r="20" spans="1:11" ht="62.4" customHeight="1">
      <c r="A20" s="34"/>
      <c r="B20" s="13" t="s">
        <v>140</v>
      </c>
      <c r="C20" s="14" t="s">
        <v>141</v>
      </c>
      <c r="D20" s="14" t="s">
        <v>142</v>
      </c>
      <c r="E20" s="14" t="s">
        <v>143</v>
      </c>
      <c r="F20" s="14" t="s">
        <v>144</v>
      </c>
      <c r="G20" s="14" t="s">
        <v>145</v>
      </c>
      <c r="H20" s="15"/>
      <c r="I20" s="15"/>
      <c r="J20" s="15"/>
      <c r="K20" s="15"/>
    </row>
    <row r="21" spans="1:11" ht="62.4" customHeight="1">
      <c r="A21" s="34"/>
      <c r="B21" s="13" t="s">
        <v>146</v>
      </c>
      <c r="C21" s="14" t="s">
        <v>147</v>
      </c>
      <c r="D21" s="14" t="s">
        <v>148</v>
      </c>
      <c r="E21" s="14" t="s">
        <v>149</v>
      </c>
      <c r="F21" s="14" t="s">
        <v>150</v>
      </c>
      <c r="G21" s="14" t="s">
        <v>151</v>
      </c>
      <c r="H21" s="15"/>
      <c r="I21" s="15"/>
      <c r="J21" s="15"/>
      <c r="K21" s="15"/>
    </row>
    <row r="22" spans="1:11" ht="62.4" customHeight="1">
      <c r="A22" s="33"/>
      <c r="B22" s="33"/>
      <c r="C22" s="33"/>
      <c r="D22" s="33"/>
      <c r="E22" s="33"/>
      <c r="F22" s="33"/>
      <c r="G22" s="33"/>
      <c r="H22" s="33"/>
      <c r="I22" s="33"/>
      <c r="J22" s="33"/>
      <c r="K22" s="33"/>
    </row>
    <row r="23" spans="1:11" ht="62.4" customHeight="1">
      <c r="A23" s="35" t="s">
        <v>152</v>
      </c>
      <c r="B23" s="13" t="s">
        <v>153</v>
      </c>
      <c r="C23" s="14" t="s">
        <v>154</v>
      </c>
      <c r="D23" s="14" t="s">
        <v>155</v>
      </c>
      <c r="E23" s="14" t="s">
        <v>156</v>
      </c>
      <c r="F23" s="14" t="s">
        <v>157</v>
      </c>
      <c r="G23" s="14" t="s">
        <v>158</v>
      </c>
      <c r="H23" s="15"/>
      <c r="I23" s="15"/>
      <c r="J23" s="15"/>
      <c r="K23" s="15"/>
    </row>
    <row r="24" spans="1:11" ht="62.4" customHeight="1">
      <c r="A24" s="35"/>
      <c r="B24" s="13" t="s">
        <v>159</v>
      </c>
      <c r="C24" s="14" t="s">
        <v>160</v>
      </c>
      <c r="D24" s="14" t="s">
        <v>161</v>
      </c>
      <c r="E24" s="14" t="s">
        <v>162</v>
      </c>
      <c r="F24" s="14" t="s">
        <v>163</v>
      </c>
      <c r="G24" s="14" t="s">
        <v>164</v>
      </c>
      <c r="H24" s="15"/>
      <c r="I24" s="15"/>
      <c r="J24" s="15"/>
      <c r="K24" s="15"/>
    </row>
    <row r="25" spans="1:11" ht="62.4" customHeight="1">
      <c r="A25" s="35"/>
      <c r="B25" s="13" t="s">
        <v>165</v>
      </c>
      <c r="C25" s="14" t="s">
        <v>166</v>
      </c>
      <c r="D25" s="14" t="s">
        <v>167</v>
      </c>
      <c r="E25" s="14" t="s">
        <v>168</v>
      </c>
      <c r="F25" s="14" t="s">
        <v>169</v>
      </c>
      <c r="G25" s="14" t="s">
        <v>170</v>
      </c>
      <c r="H25" s="15"/>
      <c r="I25" s="15"/>
      <c r="J25" s="15"/>
      <c r="K25" s="15"/>
    </row>
    <row r="26" spans="1:11" ht="62.4" customHeight="1">
      <c r="A26" s="35"/>
      <c r="B26" s="13" t="s">
        <v>171</v>
      </c>
      <c r="C26" s="14" t="s">
        <v>172</v>
      </c>
      <c r="D26" s="14" t="s">
        <v>173</v>
      </c>
      <c r="E26" s="14" t="s">
        <v>174</v>
      </c>
      <c r="F26" s="14" t="s">
        <v>175</v>
      </c>
      <c r="G26" s="14" t="s">
        <v>176</v>
      </c>
      <c r="H26" s="15"/>
      <c r="I26" s="15"/>
      <c r="J26" s="15"/>
      <c r="K26" s="15"/>
    </row>
    <row r="27" spans="1:11" ht="62.4" customHeight="1">
      <c r="A27" s="35"/>
      <c r="B27" s="13" t="s">
        <v>177</v>
      </c>
      <c r="C27" s="14" t="s">
        <v>178</v>
      </c>
      <c r="D27" s="14" t="s">
        <v>179</v>
      </c>
      <c r="E27" s="14" t="s">
        <v>180</v>
      </c>
      <c r="F27" s="14" t="s">
        <v>181</v>
      </c>
      <c r="G27" s="14" t="s">
        <v>182</v>
      </c>
      <c r="H27" s="15"/>
      <c r="I27" s="15"/>
      <c r="J27" s="15"/>
      <c r="K27" s="15"/>
    </row>
    <row r="28" spans="1:11" ht="62.4" customHeight="1">
      <c r="A28" s="35"/>
      <c r="B28" s="13" t="s">
        <v>183</v>
      </c>
      <c r="C28" s="14" t="s">
        <v>184</v>
      </c>
      <c r="D28" s="14" t="s">
        <v>185</v>
      </c>
      <c r="E28" s="14" t="s">
        <v>186</v>
      </c>
      <c r="F28" s="14" t="s">
        <v>187</v>
      </c>
      <c r="G28" s="14" t="s">
        <v>188</v>
      </c>
      <c r="H28" s="15"/>
      <c r="I28" s="15"/>
      <c r="J28" s="15"/>
      <c r="K28" s="15"/>
    </row>
    <row r="29" spans="1:11" ht="62.4" customHeight="1">
      <c r="A29" s="33"/>
      <c r="B29" s="33"/>
      <c r="C29" s="33"/>
      <c r="D29" s="33"/>
      <c r="E29" s="33"/>
      <c r="F29" s="33"/>
      <c r="G29" s="33"/>
      <c r="H29" s="33"/>
      <c r="I29" s="33"/>
      <c r="J29" s="33"/>
      <c r="K29" s="33"/>
    </row>
    <row r="30" spans="1:11" ht="62.4" customHeight="1">
      <c r="A30" s="36" t="s">
        <v>189</v>
      </c>
      <c r="B30" s="13" t="s">
        <v>190</v>
      </c>
      <c r="C30" s="14" t="s">
        <v>191</v>
      </c>
      <c r="D30" s="14" t="s">
        <v>192</v>
      </c>
      <c r="E30" s="14" t="s">
        <v>193</v>
      </c>
      <c r="F30" s="14" t="s">
        <v>194</v>
      </c>
      <c r="G30" s="14" t="s">
        <v>195</v>
      </c>
      <c r="H30" s="15"/>
      <c r="I30" s="15"/>
      <c r="J30" s="15"/>
      <c r="K30" s="15"/>
    </row>
    <row r="31" spans="1:11" ht="62.4" customHeight="1">
      <c r="A31" s="36"/>
      <c r="B31" s="13" t="s">
        <v>196</v>
      </c>
      <c r="C31" s="14" t="s">
        <v>197</v>
      </c>
      <c r="D31" s="14" t="s">
        <v>198</v>
      </c>
      <c r="E31" s="14" t="s">
        <v>199</v>
      </c>
      <c r="F31" s="14" t="s">
        <v>200</v>
      </c>
      <c r="G31" s="14" t="s">
        <v>201</v>
      </c>
      <c r="H31" s="15"/>
      <c r="I31" s="15"/>
      <c r="J31" s="15"/>
      <c r="K31" s="15"/>
    </row>
    <row r="32" spans="1:11" ht="62.4" customHeight="1">
      <c r="A32" s="36"/>
      <c r="B32" s="13" t="s">
        <v>202</v>
      </c>
      <c r="C32" s="14" t="s">
        <v>203</v>
      </c>
      <c r="D32" s="14" t="s">
        <v>204</v>
      </c>
      <c r="E32" s="14" t="s">
        <v>205</v>
      </c>
      <c r="F32" s="14" t="s">
        <v>206</v>
      </c>
      <c r="G32" s="14" t="s">
        <v>207</v>
      </c>
      <c r="H32" s="15"/>
      <c r="I32" s="15"/>
      <c r="J32" s="15"/>
      <c r="K32" s="15"/>
    </row>
    <row r="33" spans="1:11" ht="62.4" customHeight="1">
      <c r="A33" s="36"/>
      <c r="B33" s="13" t="s">
        <v>208</v>
      </c>
      <c r="C33" s="14" t="s">
        <v>209</v>
      </c>
      <c r="D33" s="14" t="s">
        <v>210</v>
      </c>
      <c r="E33" s="14" t="s">
        <v>211</v>
      </c>
      <c r="F33" s="14" t="s">
        <v>212</v>
      </c>
      <c r="G33" s="14" t="s">
        <v>213</v>
      </c>
      <c r="H33" s="15"/>
      <c r="I33" s="15"/>
      <c r="J33" s="15"/>
      <c r="K33" s="15"/>
    </row>
    <row r="34" spans="1:11" ht="62.4" customHeight="1">
      <c r="A34" s="36"/>
      <c r="B34" s="13" t="s">
        <v>214</v>
      </c>
      <c r="C34" s="14" t="s">
        <v>215</v>
      </c>
      <c r="D34" s="14" t="s">
        <v>216</v>
      </c>
      <c r="E34" s="14" t="s">
        <v>217</v>
      </c>
      <c r="F34" s="14" t="s">
        <v>218</v>
      </c>
      <c r="G34" s="14" t="s">
        <v>219</v>
      </c>
      <c r="H34" s="15"/>
      <c r="I34" s="15"/>
      <c r="J34" s="15"/>
      <c r="K34" s="15"/>
    </row>
    <row r="35" spans="1:11" ht="62.4" customHeight="1">
      <c r="A35" s="33"/>
      <c r="B35" s="33"/>
      <c r="C35" s="33"/>
      <c r="D35" s="33"/>
      <c r="E35" s="33"/>
      <c r="F35" s="33"/>
      <c r="G35" s="33"/>
      <c r="H35" s="33"/>
      <c r="I35" s="33"/>
      <c r="J35" s="33"/>
      <c r="K35" s="33"/>
    </row>
    <row r="36" spans="1:11" ht="62.4" customHeight="1">
      <c r="A36" s="37" t="s">
        <v>220</v>
      </c>
      <c r="B36" s="13" t="s">
        <v>221</v>
      </c>
      <c r="C36" s="14" t="s">
        <v>222</v>
      </c>
      <c r="D36" s="14" t="s">
        <v>223</v>
      </c>
      <c r="E36" s="14" t="s">
        <v>224</v>
      </c>
      <c r="F36" s="14" t="s">
        <v>225</v>
      </c>
      <c r="G36" s="14" t="s">
        <v>226</v>
      </c>
      <c r="H36" s="15"/>
      <c r="I36" s="15"/>
      <c r="J36" s="15"/>
      <c r="K36" s="15"/>
    </row>
    <row r="37" spans="1:11" ht="62.4" customHeight="1">
      <c r="A37" s="37"/>
      <c r="B37" s="13" t="s">
        <v>227</v>
      </c>
      <c r="C37" s="14" t="s">
        <v>228</v>
      </c>
      <c r="D37" s="14" t="s">
        <v>229</v>
      </c>
      <c r="E37" s="14" t="s">
        <v>230</v>
      </c>
      <c r="F37" s="14" t="s">
        <v>231</v>
      </c>
      <c r="G37" s="14" t="s">
        <v>232</v>
      </c>
      <c r="H37" s="15"/>
      <c r="I37" s="15"/>
      <c r="J37" s="15"/>
      <c r="K37" s="15"/>
    </row>
    <row r="38" spans="1:11" ht="62.4" customHeight="1">
      <c r="A38" s="37"/>
      <c r="B38" s="13" t="s">
        <v>233</v>
      </c>
      <c r="C38" s="14" t="s">
        <v>234</v>
      </c>
      <c r="D38" s="14" t="s">
        <v>235</v>
      </c>
      <c r="E38" s="14" t="s">
        <v>236</v>
      </c>
      <c r="F38" s="14" t="s">
        <v>237</v>
      </c>
      <c r="G38" s="14" t="s">
        <v>238</v>
      </c>
      <c r="H38" s="15"/>
      <c r="I38" s="15"/>
      <c r="J38" s="15"/>
      <c r="K38" s="15"/>
    </row>
    <row r="39" spans="1:11" ht="62.4" customHeight="1">
      <c r="A39" s="37"/>
      <c r="B39" s="13" t="s">
        <v>239</v>
      </c>
      <c r="C39" s="14" t="s">
        <v>240</v>
      </c>
      <c r="D39" s="14" t="s">
        <v>241</v>
      </c>
      <c r="E39" s="14" t="s">
        <v>242</v>
      </c>
      <c r="F39" s="14" t="s">
        <v>243</v>
      </c>
      <c r="G39" s="14" t="s">
        <v>244</v>
      </c>
      <c r="H39" s="15"/>
      <c r="I39" s="15"/>
      <c r="J39" s="15"/>
      <c r="K39" s="15"/>
    </row>
    <row r="40" spans="1:11" ht="62.4" customHeight="1">
      <c r="A40" s="33"/>
      <c r="B40" s="33"/>
      <c r="C40" s="33"/>
      <c r="D40" s="33"/>
      <c r="E40" s="33"/>
      <c r="F40" s="33"/>
      <c r="G40" s="33"/>
      <c r="H40" s="33"/>
      <c r="I40" s="33"/>
      <c r="J40" s="33"/>
      <c r="K40" s="33"/>
    </row>
    <row r="41" spans="1:11" ht="62.4" customHeight="1">
      <c r="A41" s="38" t="s">
        <v>245</v>
      </c>
      <c r="B41" s="13" t="s">
        <v>246</v>
      </c>
      <c r="C41" s="14" t="s">
        <v>247</v>
      </c>
      <c r="D41" s="14" t="s">
        <v>248</v>
      </c>
      <c r="E41" s="14" t="s">
        <v>249</v>
      </c>
      <c r="F41" s="14" t="s">
        <v>250</v>
      </c>
      <c r="G41" s="14" t="s">
        <v>251</v>
      </c>
      <c r="H41" s="15"/>
      <c r="I41" s="15"/>
      <c r="J41" s="15"/>
      <c r="K41" s="15"/>
    </row>
    <row r="42" spans="1:11" ht="62.4" customHeight="1">
      <c r="A42" s="38"/>
      <c r="B42" s="13" t="s">
        <v>252</v>
      </c>
      <c r="C42" s="14" t="s">
        <v>253</v>
      </c>
      <c r="D42" s="14" t="s">
        <v>254</v>
      </c>
      <c r="E42" s="14" t="s">
        <v>255</v>
      </c>
      <c r="F42" s="14" t="s">
        <v>256</v>
      </c>
      <c r="G42" s="14" t="s">
        <v>257</v>
      </c>
      <c r="H42" s="15"/>
      <c r="I42" s="15"/>
      <c r="J42" s="15"/>
      <c r="K42" s="15"/>
    </row>
    <row r="43" spans="1:11" ht="62.4" customHeight="1">
      <c r="A43" s="38"/>
      <c r="B43" s="13" t="s">
        <v>258</v>
      </c>
      <c r="C43" s="14" t="s">
        <v>259</v>
      </c>
      <c r="D43" s="14" t="s">
        <v>260</v>
      </c>
      <c r="E43" s="14" t="s">
        <v>261</v>
      </c>
      <c r="F43" s="14" t="s">
        <v>262</v>
      </c>
      <c r="G43" s="14" t="s">
        <v>263</v>
      </c>
      <c r="H43" s="15"/>
      <c r="I43" s="15"/>
      <c r="J43" s="15"/>
      <c r="K43" s="15"/>
    </row>
    <row r="44" spans="1:11" ht="62.4" customHeight="1">
      <c r="A44" s="38"/>
      <c r="B44" s="13" t="s">
        <v>264</v>
      </c>
      <c r="C44" s="14" t="s">
        <v>265</v>
      </c>
      <c r="D44" s="14" t="s">
        <v>266</v>
      </c>
      <c r="E44" s="14" t="s">
        <v>267</v>
      </c>
      <c r="F44" s="14" t="s">
        <v>268</v>
      </c>
      <c r="G44" s="14" t="s">
        <v>269</v>
      </c>
      <c r="H44" s="15"/>
      <c r="I44" s="15"/>
      <c r="J44" s="15"/>
      <c r="K44" s="15"/>
    </row>
    <row r="45" spans="1:11" ht="62.4" customHeight="1">
      <c r="A45" s="38"/>
      <c r="B45" s="13" t="s">
        <v>270</v>
      </c>
      <c r="C45" s="14" t="s">
        <v>271</v>
      </c>
      <c r="D45" s="14" t="s">
        <v>272</v>
      </c>
      <c r="E45" s="14" t="s">
        <v>273</v>
      </c>
      <c r="F45" s="14" t="s">
        <v>274</v>
      </c>
      <c r="G45" s="14" t="s">
        <v>275</v>
      </c>
      <c r="H45" s="15"/>
      <c r="I45" s="15"/>
      <c r="J45" s="15"/>
      <c r="K45" s="15"/>
    </row>
    <row r="46" spans="1:11" ht="62.4" customHeight="1">
      <c r="A46" s="38"/>
      <c r="B46" s="13" t="s">
        <v>276</v>
      </c>
      <c r="C46" s="14" t="s">
        <v>277</v>
      </c>
      <c r="D46" s="14" t="s">
        <v>278</v>
      </c>
      <c r="E46" s="14" t="s">
        <v>279</v>
      </c>
      <c r="F46" s="14" t="s">
        <v>280</v>
      </c>
      <c r="G46" s="14" t="s">
        <v>281</v>
      </c>
      <c r="H46" s="15"/>
      <c r="I46" s="15"/>
      <c r="J46" s="15"/>
      <c r="K46" s="15"/>
    </row>
    <row r="47" spans="1:11" ht="6.45" customHeight="1">
      <c r="A47" s="33"/>
      <c r="B47" s="33"/>
      <c r="C47" s="33"/>
      <c r="D47" s="33"/>
      <c r="E47" s="33"/>
      <c r="F47" s="33"/>
      <c r="G47" s="33"/>
      <c r="H47" s="33"/>
      <c r="I47" s="33"/>
      <c r="J47" s="33"/>
      <c r="K47" s="33"/>
    </row>
  </sheetData>
  <mergeCells count="18">
    <mergeCell ref="A1:B2"/>
    <mergeCell ref="C1:G1"/>
    <mergeCell ref="H1:K1"/>
    <mergeCell ref="A4:A10"/>
    <mergeCell ref="A12:A14"/>
    <mergeCell ref="A3:K3"/>
    <mergeCell ref="A11:K11"/>
    <mergeCell ref="A47:K47"/>
    <mergeCell ref="A15:K15"/>
    <mergeCell ref="A22:K22"/>
    <mergeCell ref="A29:K29"/>
    <mergeCell ref="A35:K35"/>
    <mergeCell ref="A40:K40"/>
    <mergeCell ref="A16:A21"/>
    <mergeCell ref="A23:A28"/>
    <mergeCell ref="A30:A34"/>
    <mergeCell ref="A36:A39"/>
    <mergeCell ref="A41:A46"/>
  </mergeCells>
  <conditionalFormatting sqref="H4:I46">
    <cfRule type="expression" dxfId="4" priority="2">
      <formula>AND(OR($H4="Not applicable",$H4="Not assessed"),$I4&lt;&gt;"")</formula>
    </cfRule>
  </conditionalFormatting>
  <conditionalFormatting sqref="H4:K46">
    <cfRule type="expression" dxfId="3" priority="1">
      <formula>AND($H4="Implemented",$I4="")</formula>
    </cfRule>
  </conditionalFormatting>
  <conditionalFormatting sqref="I4:J46">
    <cfRule type="expression" dxfId="2" priority="4">
      <formula>AND(ISNUMBER($I4),ISNUMBER($J4),$J4&lt;$I4)</formula>
    </cfRule>
    <cfRule type="expression" dxfId="1" priority="5">
      <formula>AND(ISNUMBER($I4),ISNUMBER($J4),$J4&gt;$I4)</formula>
    </cfRule>
  </conditionalFormatting>
  <conditionalFormatting sqref="K4:K46">
    <cfRule type="expression" dxfId="0" priority="3">
      <formula>AND(OR($H4="In development",$H4="Not started",$H4="Not assessed",$H4="Not applicable"),$I4="",$K4="")</formula>
    </cfRule>
  </conditionalFormatting>
  <dataValidations count="2">
    <dataValidation type="list" allowBlank="1" sqref="H4:H10 H41:H46 H36:H39 H30:H34 H23:H28 H16:H21 H12:H14" xr:uid="{00000000-0002-0000-0100-000000000000}">
      <formula1>"Implemented,In development,Not started,Not assessed,Not applicable"</formula1>
    </dataValidation>
    <dataValidation type="whole" allowBlank="1" sqref="I4:J10 I41:J46 I36:J39 I30:J34 I23:J28 I16:J21 I12:J14" xr:uid="{00000000-0002-0000-0100-000001000000}">
      <formula1>1</formula1>
      <formula2>5</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2"/>
  <sheetViews>
    <sheetView workbookViewId="0">
      <selection activeCell="L7" sqref="L7"/>
    </sheetView>
  </sheetViews>
  <sheetFormatPr defaultRowHeight="13.8"/>
  <cols>
    <col min="1" max="1" width="43" customWidth="1"/>
    <col min="2" max="4" width="17" customWidth="1"/>
    <col min="5" max="10" width="15" customWidth="1"/>
  </cols>
  <sheetData>
    <row r="1" spans="1:10" ht="16.2" customHeight="1">
      <c r="A1" s="42" t="s">
        <v>282</v>
      </c>
      <c r="B1" s="42"/>
      <c r="C1" s="42"/>
      <c r="D1" s="42"/>
      <c r="E1" s="42"/>
      <c r="F1" s="42"/>
      <c r="G1" s="42"/>
      <c r="H1" s="42"/>
      <c r="I1" s="42"/>
      <c r="J1" s="42"/>
    </row>
    <row r="2" spans="1:10" ht="12" customHeight="1">
      <c r="A2" s="1"/>
      <c r="B2" s="1"/>
      <c r="C2" s="1"/>
      <c r="D2" s="1"/>
      <c r="E2" s="1"/>
      <c r="F2" s="1"/>
      <c r="G2" s="1"/>
      <c r="H2" s="1"/>
      <c r="I2" s="1"/>
      <c r="J2" s="1"/>
    </row>
    <row r="3" spans="1:10" ht="15.6" customHeight="1">
      <c r="A3" s="43" t="s">
        <v>283</v>
      </c>
      <c r="B3" s="43"/>
      <c r="C3" s="43"/>
      <c r="D3" s="43"/>
      <c r="E3" s="43"/>
      <c r="F3" s="43"/>
      <c r="G3" s="43"/>
      <c r="H3" s="43"/>
      <c r="I3" s="43"/>
      <c r="J3" s="43"/>
    </row>
    <row r="4" spans="1:10" ht="12" customHeight="1">
      <c r="A4" s="1"/>
      <c r="B4" s="1"/>
      <c r="C4" s="1"/>
      <c r="D4" s="1"/>
      <c r="E4" s="1"/>
      <c r="F4" s="1"/>
      <c r="G4" s="1"/>
      <c r="H4" s="1"/>
      <c r="I4" s="1"/>
      <c r="J4" s="1"/>
    </row>
    <row r="5" spans="1:10" ht="31.8" customHeight="1">
      <c r="A5" s="5" t="s">
        <v>284</v>
      </c>
      <c r="B5" s="5" t="s">
        <v>285</v>
      </c>
      <c r="C5" s="5" t="s">
        <v>286</v>
      </c>
      <c r="D5" s="5" t="s">
        <v>287</v>
      </c>
      <c r="E5" s="5" t="s">
        <v>288</v>
      </c>
      <c r="F5" s="5" t="s">
        <v>31</v>
      </c>
      <c r="G5" s="5" t="s">
        <v>33</v>
      </c>
      <c r="H5" s="5" t="s">
        <v>35</v>
      </c>
      <c r="I5" s="5" t="s">
        <v>37</v>
      </c>
      <c r="J5" s="5" t="s">
        <v>39</v>
      </c>
    </row>
    <row r="6" spans="1:10" ht="30.6" customHeight="1">
      <c r="A6" s="6" t="s">
        <v>53</v>
      </c>
      <c r="B6" s="7" t="str">
        <f>IF(COUNT(Assessment!I4:I10)=0,"",MEDIAN(Assessment!I4:I10))</f>
        <v/>
      </c>
      <c r="C6" s="7" t="str">
        <f>IF(COUNT(Assessment!I4:I10)=0,"",MIN(Assessment!I4:I10))</f>
        <v/>
      </c>
      <c r="D6" s="7" t="str">
        <f>IF(COUNT(Assessment!I4:I10)=0,"",MAX(Assessment!I4:I10))</f>
        <v/>
      </c>
      <c r="E6" s="8">
        <f>COUNT(Assessment!I4:I10)</f>
        <v>0</v>
      </c>
      <c r="F6" s="8">
        <f>COUNTIF(Assessment!H4:H10,"Implemented")</f>
        <v>0</v>
      </c>
      <c r="G6" s="8">
        <f>COUNTIF(Assessment!H4:H10,"In development")</f>
        <v>0</v>
      </c>
      <c r="H6" s="8">
        <f>COUNTIF(Assessment!H4:H10,"Not started")</f>
        <v>0</v>
      </c>
      <c r="I6" s="8">
        <f>COUNTIF(Assessment!H4:H10,"Not assessed")</f>
        <v>0</v>
      </c>
      <c r="J6" s="8">
        <f>COUNTIF(Assessment!H4:H10,"Not applicable")</f>
        <v>0</v>
      </c>
    </row>
    <row r="7" spans="1:10" ht="30.6" customHeight="1">
      <c r="A7" s="9" t="s">
        <v>96</v>
      </c>
      <c r="B7" s="10" t="str">
        <f>IF(COUNT(Assessment!I12:I14)=0,"",MEDIAN(Assessment!I12:I14))</f>
        <v/>
      </c>
      <c r="C7" s="10" t="str">
        <f>IF(COUNT(Assessment!I12:I14)=0,"",MIN(Assessment!I12:I14))</f>
        <v/>
      </c>
      <c r="D7" s="10" t="str">
        <f>IF(COUNT(Assessment!I12:I14)=0,"",MAX(Assessment!I12:I14))</f>
        <v/>
      </c>
      <c r="E7" s="11">
        <f>COUNT(Assessment!I12:I14)</f>
        <v>0</v>
      </c>
      <c r="F7" s="11">
        <f>COUNTIF(Assessment!H12:H14,"Implemented")</f>
        <v>0</v>
      </c>
      <c r="G7" s="11">
        <f>COUNTIF(Assessment!H12:H14,"In development")</f>
        <v>0</v>
      </c>
      <c r="H7" s="11">
        <f>COUNTIF(Assessment!H12:H14,"Not started")</f>
        <v>0</v>
      </c>
      <c r="I7" s="11">
        <f>COUNTIF(Assessment!H12:H14,"Not assessed")</f>
        <v>0</v>
      </c>
      <c r="J7" s="11">
        <f>COUNTIF(Assessment!H12:H14,"Not applicable")</f>
        <v>0</v>
      </c>
    </row>
    <row r="8" spans="1:10" ht="20.399999999999999" customHeight="1">
      <c r="A8" s="6" t="s">
        <v>115</v>
      </c>
      <c r="B8" s="7" t="str">
        <f>IF(COUNT(Assessment!I16:I21)=0,"",MEDIAN(Assessment!I16:I21))</f>
        <v/>
      </c>
      <c r="C8" s="7" t="str">
        <f>IF(COUNT(Assessment!I16:I21)=0,"",MIN(Assessment!I16:I21))</f>
        <v/>
      </c>
      <c r="D8" s="7" t="str">
        <f>IF(COUNT(Assessment!I16:I21)=0,"",MAX(Assessment!I16:I21))</f>
        <v/>
      </c>
      <c r="E8" s="8">
        <f>COUNT(Assessment!I16:I21)</f>
        <v>0</v>
      </c>
      <c r="F8" s="8">
        <f>COUNTIF(Assessment!H16:H21,"Implemented")</f>
        <v>0</v>
      </c>
      <c r="G8" s="8">
        <f>COUNTIF(Assessment!H16:H21,"In development")</f>
        <v>0</v>
      </c>
      <c r="H8" s="8">
        <f>COUNTIF(Assessment!H16:H21,"Not started")</f>
        <v>0</v>
      </c>
      <c r="I8" s="8">
        <f>COUNTIF(Assessment!H16:H21,"Not assessed")</f>
        <v>0</v>
      </c>
      <c r="J8" s="8">
        <f>COUNTIF(Assessment!H16:H21,"Not applicable")</f>
        <v>0</v>
      </c>
    </row>
    <row r="9" spans="1:10" ht="21.6" customHeight="1">
      <c r="A9" s="9" t="s">
        <v>152</v>
      </c>
      <c r="B9" s="10" t="str">
        <f>IF(COUNT(Assessment!I23:I28)=0,"",MEDIAN(Assessment!I23:I28))</f>
        <v/>
      </c>
      <c r="C9" s="10" t="str">
        <f>IF(COUNT(Assessment!I23:I28)=0,"",MIN(Assessment!I23:I28))</f>
        <v/>
      </c>
      <c r="D9" s="10" t="str">
        <f>IF(COUNT(Assessment!I23:I28)=0,"",MAX(Assessment!I23:I28))</f>
        <v/>
      </c>
      <c r="E9" s="11">
        <f>COUNT(Assessment!I23:I28)</f>
        <v>0</v>
      </c>
      <c r="F9" s="11">
        <f>COUNTIF(Assessment!H23:H28,"Implemented")</f>
        <v>0</v>
      </c>
      <c r="G9" s="11">
        <f>COUNTIF(Assessment!H23:H28,"In development")</f>
        <v>0</v>
      </c>
      <c r="H9" s="11">
        <f>COUNTIF(Assessment!H23:H28,"Not started")</f>
        <v>0</v>
      </c>
      <c r="I9" s="11">
        <f>COUNTIF(Assessment!H23:H28,"Not assessed")</f>
        <v>0</v>
      </c>
      <c r="J9" s="11">
        <f>COUNTIF(Assessment!H23:H28,"Not applicable")</f>
        <v>0</v>
      </c>
    </row>
    <row r="10" spans="1:10" ht="17.399999999999999" customHeight="1">
      <c r="A10" s="6" t="s">
        <v>189</v>
      </c>
      <c r="B10" s="7" t="str">
        <f>IF(COUNT(Assessment!I30:I34)=0,"",MEDIAN(Assessment!I30:I34))</f>
        <v/>
      </c>
      <c r="C10" s="7" t="str">
        <f>IF(COUNT(Assessment!I30:I34)=0,"",MIN(Assessment!I30:I34))</f>
        <v/>
      </c>
      <c r="D10" s="7" t="str">
        <f>IF(COUNT(Assessment!I30:I34)=0,"",MAX(Assessment!I30:I34))</f>
        <v/>
      </c>
      <c r="E10" s="8">
        <f>COUNT(Assessment!I30:I34)</f>
        <v>0</v>
      </c>
      <c r="F10" s="8">
        <f>COUNTIF(Assessment!H30:H34,"Implemented")</f>
        <v>0</v>
      </c>
      <c r="G10" s="8">
        <f>COUNTIF(Assessment!H30:H34,"In development")</f>
        <v>0</v>
      </c>
      <c r="H10" s="8">
        <f>COUNTIF(Assessment!H30:H34,"Not started")</f>
        <v>0</v>
      </c>
      <c r="I10" s="8">
        <f>COUNTIF(Assessment!H30:H34,"Not assessed")</f>
        <v>0</v>
      </c>
      <c r="J10" s="8">
        <f>COUNTIF(Assessment!H30:H34,"Not applicable")</f>
        <v>0</v>
      </c>
    </row>
    <row r="11" spans="1:10" ht="18.600000000000001" customHeight="1">
      <c r="A11" s="9" t="s">
        <v>220</v>
      </c>
      <c r="B11" s="10" t="str">
        <f>IF(COUNT(Assessment!I36:I39)=0,"",MEDIAN(Assessment!I36:I39))</f>
        <v/>
      </c>
      <c r="C11" s="10" t="str">
        <f>IF(COUNT(Assessment!I36:I39)=0,"",MIN(Assessment!I36:I39))</f>
        <v/>
      </c>
      <c r="D11" s="10" t="str">
        <f>IF(COUNT(Assessment!I36:I39)=0,"",MAX(Assessment!I36:I39))</f>
        <v/>
      </c>
      <c r="E11" s="11">
        <f>COUNT(Assessment!I36:I39)</f>
        <v>0</v>
      </c>
      <c r="F11" s="11">
        <f>COUNTIF(Assessment!H36:H39,"Implemented")</f>
        <v>0</v>
      </c>
      <c r="G11" s="11">
        <f>COUNTIF(Assessment!H36:H39,"In development")</f>
        <v>0</v>
      </c>
      <c r="H11" s="11">
        <f>COUNTIF(Assessment!H36:H39,"Not started")</f>
        <v>0</v>
      </c>
      <c r="I11" s="11">
        <f>COUNTIF(Assessment!H36:H39,"Not assessed")</f>
        <v>0</v>
      </c>
      <c r="J11" s="11">
        <f>COUNTIF(Assessment!H36:H39,"Not applicable")</f>
        <v>0</v>
      </c>
    </row>
    <row r="12" spans="1:10" ht="28.8" customHeight="1">
      <c r="A12" s="6" t="s">
        <v>245</v>
      </c>
      <c r="B12" s="7" t="str">
        <f>IF(COUNT(Assessment!I41:I46)=0,"",MEDIAN(Assessment!I41:I46))</f>
        <v/>
      </c>
      <c r="C12" s="7" t="str">
        <f>IF(COUNT(Assessment!I41:I46)=0,"",MIN(Assessment!I41:I46))</f>
        <v/>
      </c>
      <c r="D12" s="7" t="str">
        <f>IF(COUNT(Assessment!I41:I46)=0,"",MAX(Assessment!I41:I46))</f>
        <v/>
      </c>
      <c r="E12" s="8">
        <f>COUNT(Assessment!I41:I46)</f>
        <v>0</v>
      </c>
      <c r="F12" s="8">
        <f>COUNTIF(Assessment!H41:H46,"Implemented")</f>
        <v>0</v>
      </c>
      <c r="G12" s="8">
        <f>COUNTIF(Assessment!H41:H46,"In development")</f>
        <v>0</v>
      </c>
      <c r="H12" s="8">
        <f>COUNTIF(Assessment!H41:H46,"Not started")</f>
        <v>0</v>
      </c>
      <c r="I12" s="8">
        <f>COUNTIF(Assessment!H41:H46,"Not assessed")</f>
        <v>0</v>
      </c>
      <c r="J12" s="8">
        <f>COUNTIF(Assessment!H41:H46,"Not applicable")</f>
        <v>0</v>
      </c>
    </row>
  </sheetData>
  <mergeCells count="2">
    <mergeCell ref="A1:J1"/>
    <mergeCell ref="A3:J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5"/>
  <sheetViews>
    <sheetView tabSelected="1" workbookViewId="0">
      <selection activeCell="A5" sqref="A5"/>
    </sheetView>
  </sheetViews>
  <sheetFormatPr defaultRowHeight="13.8"/>
  <cols>
    <col min="1" max="1" width="34" customWidth="1"/>
    <col min="2" max="2" width="100" customWidth="1"/>
  </cols>
  <sheetData>
    <row r="1" spans="1:2" ht="18" customHeight="1">
      <c r="A1" s="5" t="s">
        <v>289</v>
      </c>
      <c r="B1" s="5" t="s">
        <v>290</v>
      </c>
    </row>
    <row r="2" spans="1:2" ht="31.8" customHeight="1">
      <c r="A2" s="17" t="s">
        <v>291</v>
      </c>
      <c r="B2" s="16" t="s">
        <v>292</v>
      </c>
    </row>
    <row r="3" spans="1:2" ht="19.8" customHeight="1">
      <c r="A3" s="17" t="s">
        <v>2</v>
      </c>
      <c r="B3" s="16" t="s">
        <v>293</v>
      </c>
    </row>
    <row r="4" spans="1:2" ht="32.4" customHeight="1">
      <c r="A4" s="17" t="s">
        <v>294</v>
      </c>
      <c r="B4" s="16" t="s">
        <v>295</v>
      </c>
    </row>
    <row r="5" spans="1:2" ht="34.799999999999997" customHeight="1">
      <c r="A5" s="17" t="s">
        <v>296</v>
      </c>
      <c r="B5" s="16" t="s">
        <v>297</v>
      </c>
    </row>
    <row r="6" spans="1:2" ht="34.799999999999997" customHeight="1">
      <c r="A6" s="17" t="s">
        <v>298</v>
      </c>
      <c r="B6" s="16" t="s">
        <v>299</v>
      </c>
    </row>
    <row r="7" spans="1:2" ht="34.200000000000003" customHeight="1">
      <c r="A7" s="17" t="s">
        <v>300</v>
      </c>
      <c r="B7" s="16" t="s">
        <v>301</v>
      </c>
    </row>
    <row r="8" spans="1:2" ht="45.6" customHeight="1">
      <c r="A8" s="17" t="s">
        <v>302</v>
      </c>
      <c r="B8" s="16" t="s">
        <v>303</v>
      </c>
    </row>
    <row r="9" spans="1:2" ht="33" customHeight="1">
      <c r="A9" s="17" t="s">
        <v>304</v>
      </c>
      <c r="B9" s="16" t="s">
        <v>305</v>
      </c>
    </row>
    <row r="10" spans="1:2" ht="31.2" customHeight="1">
      <c r="A10" s="17" t="s">
        <v>306</v>
      </c>
      <c r="B10" s="16" t="s">
        <v>307</v>
      </c>
    </row>
    <row r="11" spans="1:2" ht="31.8" customHeight="1">
      <c r="A11" s="17" t="s">
        <v>308</v>
      </c>
      <c r="B11" s="16" t="s">
        <v>309</v>
      </c>
    </row>
    <row r="12" spans="1:2" ht="19.2" customHeight="1">
      <c r="A12" s="17" t="s">
        <v>310</v>
      </c>
      <c r="B12" s="16" t="s">
        <v>311</v>
      </c>
    </row>
    <row r="13" spans="1:2" ht="31.8" customHeight="1">
      <c r="A13" s="17" t="s">
        <v>312</v>
      </c>
      <c r="B13" s="16" t="s">
        <v>313</v>
      </c>
    </row>
    <row r="14" spans="1:2" ht="29.4" customHeight="1">
      <c r="A14" s="17" t="s">
        <v>314</v>
      </c>
      <c r="B14" s="16" t="s">
        <v>315</v>
      </c>
    </row>
    <row r="15" spans="1:2" ht="31.2" customHeight="1">
      <c r="A15" s="17" t="s">
        <v>316</v>
      </c>
      <c r="B15" s="16" t="s">
        <v>317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 &amp; Scope</vt:lpstr>
      <vt:lpstr>Assessment</vt:lpstr>
      <vt:lpstr>Summary</vt:lpstr>
      <vt:lpstr>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Caron , Louis-Philippe</cp:lastModifiedBy>
  <dcterms:modified xsi:type="dcterms:W3CDTF">2026-08-28T19:41:09Z</dcterms:modified>
</cp:coreProperties>
</file>